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drawings/drawing8.xml" ContentType="application/vnd.openxmlformats-officedocument.drawing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iv Bahadur\Downloads\"/>
    </mc:Choice>
  </mc:AlternateContent>
  <xr:revisionPtr revIDLastSave="0" documentId="13_ncr:1_{6BDBDF18-E7A2-48EA-BF70-8D0552D5B060}" xr6:coauthVersionLast="47" xr6:coauthVersionMax="47" xr10:uidLastSave="{00000000-0000-0000-0000-000000000000}"/>
  <bookViews>
    <workbookView xWindow="-108" yWindow="-108" windowWidth="23256" windowHeight="12456" xr2:uid="{0AEABBAA-CE9A-4AE6-B925-6B3753CEC232}"/>
  </bookViews>
  <sheets>
    <sheet name="Dashboard" sheetId="1" r:id="rId1"/>
    <sheet name="Customers" sheetId="2" r:id="rId2"/>
    <sheet name="Products" sheetId="3" r:id="rId3"/>
    <sheet name="Vendors" sheetId="4" r:id="rId4"/>
    <sheet name="New Entry" sheetId="5" r:id="rId5"/>
    <sheet name="Purcahse" sheetId="6" r:id="rId6"/>
    <sheet name="Sales" sheetId="7" r:id="rId7"/>
    <sheet name="Inventory" sheetId="8" r:id="rId8"/>
    <sheet name="Pivots" sheetId="9" r:id="rId9"/>
  </sheets>
  <definedNames>
    <definedName name="cid">customersdata[Cust_ID]</definedName>
    <definedName name="hsn_code">productsdata[HSN Code]</definedName>
    <definedName name="hsnCode">purchasedata[#All]</definedName>
  </definedNames>
  <calcPr calcId="191029"/>
  <pivotCaches>
    <pivotCache cacheId="11" r:id="rId10"/>
    <pivotCache cacheId="14" r:id="rId11"/>
    <pivotCache cacheId="28" r:id="rId12"/>
    <pivotCache cacheId="29" r:id="rId13"/>
    <pivotCache cacheId="32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2" i="1" l="1" a="1"/>
  <c r="M12" i="1" s="1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C18" i="9"/>
  <c r="D8" i="8"/>
  <c r="E8" i="8"/>
  <c r="F8" i="8"/>
  <c r="D9" i="8"/>
  <c r="E9" i="8"/>
  <c r="F9" i="8"/>
  <c r="D10" i="8"/>
  <c r="E10" i="8"/>
  <c r="F10" i="8"/>
  <c r="D11" i="8"/>
  <c r="E11" i="8"/>
  <c r="F11" i="8"/>
  <c r="D12" i="8"/>
  <c r="E12" i="8"/>
  <c r="F12" i="8"/>
  <c r="D13" i="8"/>
  <c r="E13" i="8"/>
  <c r="F13" i="8"/>
  <c r="D14" i="8"/>
  <c r="E14" i="8"/>
  <c r="F14" i="8"/>
  <c r="D15" i="8"/>
  <c r="E15" i="8"/>
  <c r="F15" i="8"/>
  <c r="D16" i="8"/>
  <c r="E16" i="8"/>
  <c r="F16" i="8"/>
  <c r="D17" i="8"/>
  <c r="E17" i="8"/>
  <c r="F17" i="8"/>
  <c r="D18" i="8"/>
  <c r="E18" i="8"/>
  <c r="F18" i="8"/>
  <c r="D19" i="8"/>
  <c r="E19" i="8"/>
  <c r="F19" i="8"/>
  <c r="D20" i="8"/>
  <c r="E20" i="8"/>
  <c r="F20" i="8"/>
  <c r="E7" i="8"/>
  <c r="F7" i="8"/>
  <c r="D7" i="8"/>
  <c r="L7" i="7"/>
  <c r="K7" i="7"/>
  <c r="K8" i="7"/>
  <c r="L8" i="7" s="1"/>
  <c r="K9" i="7"/>
  <c r="L9" i="7" s="1"/>
  <c r="K10" i="7"/>
  <c r="L10" i="7" s="1"/>
  <c r="K11" i="7"/>
  <c r="L11" i="7" s="1"/>
  <c r="K12" i="7"/>
  <c r="L12" i="7" s="1"/>
  <c r="K13" i="7"/>
  <c r="L13" i="7" s="1"/>
  <c r="K14" i="7"/>
  <c r="L14" i="7" s="1"/>
  <c r="K15" i="7"/>
  <c r="L15" i="7" s="1"/>
  <c r="K16" i="7"/>
  <c r="L16" i="7" s="1"/>
  <c r="K17" i="7"/>
  <c r="L17" i="7" s="1"/>
  <c r="K18" i="7"/>
  <c r="L18" i="7" s="1"/>
  <c r="G7" i="7"/>
  <c r="H7" i="8" s="1"/>
  <c r="G8" i="7"/>
  <c r="G9" i="7"/>
  <c r="G10" i="7"/>
  <c r="G11" i="7"/>
  <c r="G12" i="7"/>
  <c r="G13" i="7"/>
  <c r="G14" i="7"/>
  <c r="G15" i="7"/>
  <c r="G16" i="7"/>
  <c r="G17" i="7"/>
  <c r="G18" i="7"/>
  <c r="E7" i="7"/>
  <c r="E8" i="7"/>
  <c r="E9" i="7"/>
  <c r="E10" i="7"/>
  <c r="E11" i="7"/>
  <c r="E12" i="7"/>
  <c r="E13" i="7"/>
  <c r="E14" i="7"/>
  <c r="E15" i="7"/>
  <c r="E16" i="7"/>
  <c r="E17" i="7"/>
  <c r="E18" i="7"/>
  <c r="I8" i="6"/>
  <c r="I9" i="6"/>
  <c r="I10" i="6"/>
  <c r="J10" i="6" s="1"/>
  <c r="J8" i="6"/>
  <c r="J9" i="6"/>
  <c r="E8" i="6"/>
  <c r="F8" i="6"/>
  <c r="E9" i="6"/>
  <c r="F9" i="6"/>
  <c r="E10" i="6"/>
  <c r="F10" i="6"/>
  <c r="J11" i="6"/>
  <c r="J13" i="6"/>
  <c r="J17" i="6"/>
  <c r="J18" i="6"/>
  <c r="F7" i="6"/>
  <c r="F11" i="6"/>
  <c r="F12" i="6"/>
  <c r="F13" i="6"/>
  <c r="F14" i="6"/>
  <c r="F15" i="6"/>
  <c r="F16" i="6"/>
  <c r="F17" i="6"/>
  <c r="F18" i="6"/>
  <c r="I7" i="6"/>
  <c r="J7" i="6" s="1"/>
  <c r="I11" i="6"/>
  <c r="I12" i="6"/>
  <c r="J12" i="6" s="1"/>
  <c r="I13" i="6"/>
  <c r="I14" i="6"/>
  <c r="J14" i="6" s="1"/>
  <c r="I15" i="6"/>
  <c r="J15" i="6" s="1"/>
  <c r="I16" i="6"/>
  <c r="J16" i="6" s="1"/>
  <c r="I17" i="6"/>
  <c r="I18" i="6"/>
  <c r="E7" i="6"/>
  <c r="E11" i="6"/>
  <c r="E12" i="6"/>
  <c r="E13" i="6"/>
  <c r="E14" i="6"/>
  <c r="E15" i="6"/>
  <c r="E16" i="6"/>
  <c r="E17" i="6"/>
  <c r="E18" i="6"/>
  <c r="C15" i="9"/>
  <c r="C12" i="9"/>
  <c r="C9" i="9"/>
  <c r="C6" i="9"/>
  <c r="C3" i="9"/>
  <c r="G7" i="8" l="1"/>
  <c r="I7" i="8" s="1"/>
  <c r="H18" i="8"/>
  <c r="H17" i="8"/>
  <c r="H16" i="8"/>
  <c r="H14" i="8"/>
  <c r="H15" i="8"/>
  <c r="I15" i="8" s="1"/>
  <c r="J15" i="8" s="1"/>
  <c r="H13" i="8"/>
  <c r="I13" i="8" s="1"/>
  <c r="H12" i="8"/>
  <c r="H11" i="8"/>
  <c r="I11" i="8" s="1"/>
  <c r="H10" i="8"/>
  <c r="H9" i="8"/>
  <c r="I9" i="8" s="1"/>
  <c r="H20" i="8"/>
  <c r="H8" i="8"/>
  <c r="H19" i="8"/>
  <c r="G17" i="8"/>
  <c r="G16" i="8"/>
  <c r="G15" i="8"/>
  <c r="G14" i="8"/>
  <c r="G12" i="8"/>
  <c r="G11" i="8"/>
  <c r="G10" i="8"/>
  <c r="G9" i="8"/>
  <c r="G20" i="8"/>
  <c r="G8" i="8"/>
  <c r="G18" i="8"/>
  <c r="G13" i="8"/>
  <c r="G19" i="8"/>
  <c r="I10" i="8" l="1"/>
  <c r="I12" i="8"/>
  <c r="I17" i="7" s="1"/>
  <c r="I18" i="8"/>
  <c r="J18" i="8" s="1"/>
  <c r="I18" i="7"/>
  <c r="J9" i="8"/>
  <c r="J10" i="8"/>
  <c r="I9" i="7"/>
  <c r="I16" i="7"/>
  <c r="J11" i="8"/>
  <c r="I11" i="7"/>
  <c r="I15" i="7"/>
  <c r="J12" i="8"/>
  <c r="J13" i="8"/>
  <c r="I14" i="7"/>
  <c r="I14" i="8"/>
  <c r="I16" i="8"/>
  <c r="I20" i="8"/>
  <c r="J20" i="8" s="1"/>
  <c r="I17" i="8"/>
  <c r="J17" i="8" s="1"/>
  <c r="I19" i="8"/>
  <c r="J19" i="8" s="1"/>
  <c r="I8" i="8"/>
  <c r="I10" i="7"/>
  <c r="J7" i="8"/>
  <c r="I7" i="7"/>
  <c r="I13" i="7" l="1"/>
  <c r="J16" i="8"/>
  <c r="J14" i="8"/>
  <c r="I12" i="7"/>
  <c r="J8" i="8"/>
  <c r="I8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<sst xmlns="http://schemas.openxmlformats.org/spreadsheetml/2006/main" count="196" uniqueCount="99">
  <si>
    <t>Cust_ID</t>
  </si>
  <si>
    <t>Name</t>
  </si>
  <si>
    <t>Ram Sales</t>
  </si>
  <si>
    <t xml:space="preserve"> Atul Ltd.</t>
  </si>
  <si>
    <t>MK Tech.</t>
  </si>
  <si>
    <t>99Store</t>
  </si>
  <si>
    <t>Rajesh Kumar</t>
  </si>
  <si>
    <t>Amit</t>
  </si>
  <si>
    <t>Jain Tel.</t>
  </si>
  <si>
    <t>Email</t>
  </si>
  <si>
    <t>Ram@gmail.com</t>
  </si>
  <si>
    <t>Amit@gmail.com</t>
  </si>
  <si>
    <t>MK @gmail.com</t>
  </si>
  <si>
    <t>Atu@gmail.com</t>
  </si>
  <si>
    <t>99s@gmail.com</t>
  </si>
  <si>
    <t>Raj@gmail.com</t>
  </si>
  <si>
    <t>Jai@gmail.com</t>
  </si>
  <si>
    <t>Address</t>
  </si>
  <si>
    <t>Delhi, India</t>
  </si>
  <si>
    <t>121102,Palwal,HR</t>
  </si>
  <si>
    <t>Faridabad, 121101</t>
  </si>
  <si>
    <t>Agra, UP</t>
  </si>
  <si>
    <t>New Delhi, 110011</t>
  </si>
  <si>
    <t>Gurgaon, Sec-15</t>
  </si>
  <si>
    <t>Janpath, New Delhi</t>
  </si>
  <si>
    <t>HSN Code</t>
  </si>
  <si>
    <t>N1001</t>
  </si>
  <si>
    <t>N1002</t>
  </si>
  <si>
    <t>N1003</t>
  </si>
  <si>
    <t>N1004</t>
  </si>
  <si>
    <t>N1005</t>
  </si>
  <si>
    <t>N1006</t>
  </si>
  <si>
    <t>N1007</t>
  </si>
  <si>
    <t>N1008</t>
  </si>
  <si>
    <t>N1009</t>
  </si>
  <si>
    <t>N1010</t>
  </si>
  <si>
    <t>Product Name</t>
  </si>
  <si>
    <t>Smart Watch</t>
  </si>
  <si>
    <t>Laptop HP xyz i5</t>
  </si>
  <si>
    <t>Wireless Printer</t>
  </si>
  <si>
    <t>Desktop</t>
  </si>
  <si>
    <t>Mouse</t>
  </si>
  <si>
    <t>Rgb Keyboard</t>
  </si>
  <si>
    <t xml:space="preserve">Camera </t>
  </si>
  <si>
    <t>Headphones</t>
  </si>
  <si>
    <t>Speakers</t>
  </si>
  <si>
    <t>Tablets</t>
  </si>
  <si>
    <t>Cost</t>
  </si>
  <si>
    <t>Selling Price</t>
  </si>
  <si>
    <t>Vendor Name</t>
  </si>
  <si>
    <t>Tech99</t>
  </si>
  <si>
    <t>GG Traders</t>
  </si>
  <si>
    <t>Compac</t>
  </si>
  <si>
    <t>Phone</t>
  </si>
  <si>
    <t>9812XXXXXX</t>
  </si>
  <si>
    <t>9813XXXXXX</t>
  </si>
  <si>
    <t>9814XXXXXX</t>
  </si>
  <si>
    <t>Faridabad,121101</t>
  </si>
  <si>
    <t>Faridabad,121102</t>
  </si>
  <si>
    <t>Faridabad,121103</t>
  </si>
  <si>
    <t>Gurgaon, Sec-16</t>
  </si>
  <si>
    <t>Gurgaon, Sec-17</t>
  </si>
  <si>
    <t>Gurgaon, Sec-18</t>
  </si>
  <si>
    <t>New Delhi,110012</t>
  </si>
  <si>
    <t>New Delhi,110013</t>
  </si>
  <si>
    <t>New Delhi,110014</t>
  </si>
  <si>
    <t>Purchase Entry</t>
  </si>
  <si>
    <t>Sales Entry</t>
  </si>
  <si>
    <t>Vendor</t>
  </si>
  <si>
    <t>Date</t>
  </si>
  <si>
    <t>Units</t>
  </si>
  <si>
    <t>Amount</t>
  </si>
  <si>
    <t>Cust_Name</t>
  </si>
  <si>
    <t>Stock(Units)</t>
  </si>
  <si>
    <t>Price</t>
  </si>
  <si>
    <t>ProductName</t>
  </si>
  <si>
    <t>P Units</t>
  </si>
  <si>
    <t>S Units</t>
  </si>
  <si>
    <t>Stock</t>
  </si>
  <si>
    <t>Stock Amt</t>
  </si>
  <si>
    <t>Count of Name</t>
  </si>
  <si>
    <t>Customers</t>
  </si>
  <si>
    <t>Count of Product Name</t>
  </si>
  <si>
    <t>Products</t>
  </si>
  <si>
    <t>Sum of Amount</t>
  </si>
  <si>
    <t>Purchase Amt</t>
  </si>
  <si>
    <t>Sales Amt</t>
  </si>
  <si>
    <t>Sum of Stock Amt</t>
  </si>
  <si>
    <t>Stock amt</t>
  </si>
  <si>
    <t>P/L</t>
  </si>
  <si>
    <t>Row Labels</t>
  </si>
  <si>
    <t>Grand Total</t>
  </si>
  <si>
    <t>Sum of S Units</t>
  </si>
  <si>
    <t>Notification!</t>
  </si>
  <si>
    <t>Notification</t>
  </si>
  <si>
    <t>Sum of Stock</t>
  </si>
  <si>
    <t>shiv</t>
  </si>
  <si>
    <t>shiv@gmail.com</t>
  </si>
  <si>
    <t>noida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</si>
</sst>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₹&quot;\ #,##0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9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2" fillId="2" borderId="0" xfId="1" applyFill="1"/>
    <xf numFmtId="0" fontId="0" fillId="2" borderId="0" xfId="0" applyFill="1" applyAlignment="1">
      <alignment horizontal="left"/>
    </xf>
    <xf numFmtId="0" fontId="0" fillId="2" borderId="0" xfId="0" applyFont="1" applyFill="1"/>
    <xf numFmtId="0" fontId="0" fillId="2" borderId="1" xfId="0" applyFont="1" applyFill="1" applyBorder="1"/>
    <xf numFmtId="14" fontId="0" fillId="2" borderId="0" xfId="0" applyNumberFormat="1" applyFill="1"/>
    <xf numFmtId="0" fontId="0" fillId="0" borderId="0" xfId="0" applyNumberFormat="1"/>
    <xf numFmtId="17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5" borderId="0" xfId="0" applyFill="1"/>
    <xf numFmtId="0" fontId="0" fillId="2" borderId="0" xfId="0" applyNumberFormat="1" applyFill="1"/>
    <xf numFmtId="0" fontId="4" fillId="4" borderId="0" xfId="0" applyFont="1" applyFill="1"/>
    <xf numFmtId="0" fontId="1" fillId="4" borderId="0" xfId="0" applyFont="1" applyFill="1"/>
  </cellXfs>
  <cellStyles count="2">
    <cellStyle name="Hyperlink" xfId="1" builtinId="8"/>
    <cellStyle name="Normal" xfId="0" builtinId="0"/>
  </cellStyles>
  <dxfs count="48"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[Book1.xlsx]Pivots!PivotTable7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Pivots!$G$2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Pivots!$F$3:$F$8</c:f>
              <c:strCache>
                <c:ptCount val="5"/>
                <c:pt idx="0">
                  <c:v>Mouse</c:v>
                </c:pt>
                <c:pt idx="1">
                  <c:v>Tablets</c:v>
                </c:pt>
                <c:pt idx="2">
                  <c:v>Wireless Printer</c:v>
                </c:pt>
                <c:pt idx="3">
                  <c:v>Headphones</c:v>
                </c:pt>
                <c:pt idx="4">
                  <c:v>Laptop HP xyz i5</c:v>
                </c:pt>
              </c:strCache>
            </c:strRef>
          </c:cat>
          <c:val>
            <c:numRef>
              <c:f>Pivots!$G$3:$G$8</c:f>
              <c:numCache>
                <c:formatCode>General</c:formatCode>
                <c:ptCount val="5"/>
                <c:pt idx="0">
                  <c:v>35</c:v>
                </c:pt>
                <c:pt idx="1">
                  <c:v>10</c:v>
                </c:pt>
                <c:pt idx="2">
                  <c:v>10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7D-4393-B9D1-FB7F3D036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3772751"/>
        <c:axId val="413773231"/>
      </c:barChart>
      <c:catAx>
        <c:axId val="413772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773231"/>
        <c:crosses val="autoZero"/>
        <c:auto val="1"/>
        <c:lblAlgn val="ctr"/>
        <c:lblOffset val="100"/>
        <c:noMultiLvlLbl val="0"/>
      </c:catAx>
      <c:valAx>
        <c:axId val="413773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772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[Book1.xlsx]Pivots!PivotTable8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176456692913385"/>
          <c:y val="0.24765432098765433"/>
          <c:w val="0.7426354330708661"/>
          <c:h val="0.504458701921519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Pivots!$G$11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Pivots!$F$12:$F$17</c:f>
              <c:strCache>
                <c:ptCount val="5"/>
                <c:pt idx="0">
                  <c:v> Atul Ltd.</c:v>
                </c:pt>
                <c:pt idx="1">
                  <c:v>MK Tech.</c:v>
                </c:pt>
                <c:pt idx="2">
                  <c:v>Ram Sales</c:v>
                </c:pt>
                <c:pt idx="3">
                  <c:v>Jain Tel.</c:v>
                </c:pt>
                <c:pt idx="4">
                  <c:v>99Store</c:v>
                </c:pt>
              </c:strCache>
            </c:strRef>
          </c:cat>
          <c:val>
            <c:numRef>
              <c:f>Pivots!$G$12:$G$17</c:f>
              <c:numCache>
                <c:formatCode>General</c:formatCode>
                <c:ptCount val="5"/>
                <c:pt idx="0">
                  <c:v>337200</c:v>
                </c:pt>
                <c:pt idx="1">
                  <c:v>207000</c:v>
                </c:pt>
                <c:pt idx="2">
                  <c:v>124800</c:v>
                </c:pt>
                <c:pt idx="3">
                  <c:v>55194</c:v>
                </c:pt>
                <c:pt idx="4">
                  <c:v>50400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2-41A3-AD05-CCDE6B58C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3646159"/>
        <c:axId val="673644719"/>
      </c:barChart>
      <c:catAx>
        <c:axId val="673646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644719"/>
        <c:crosses val="autoZero"/>
        <c:auto val="1"/>
        <c:lblAlgn val="ctr"/>
        <c:lblOffset val="100"/>
        <c:noMultiLvlLbl val="0"/>
      </c:catAx>
      <c:valAx>
        <c:axId val="673644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646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[Book1.xlsx]Pivots!PivotTable9</c:name>
    <c:fmtId val="4"/>
  </c:pivotSource>
  <c:chart>
    <c:title>
      <c:layout>
        <c:manualLayout>
          <c:xMode val="edge"/>
          <c:yMode val="edge"/>
          <c:x val="0.43930197016512179"/>
          <c:y val="3.4940600978336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Pivots!$B$20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Pivots!$A$21:$A$31</c:f>
              <c:strCache>
                <c:ptCount val="10"/>
                <c:pt idx="0">
                  <c:v>Camera </c:v>
                </c:pt>
                <c:pt idx="1">
                  <c:v>Desktop</c:v>
                </c:pt>
                <c:pt idx="2">
                  <c:v>Headphones</c:v>
                </c:pt>
                <c:pt idx="3">
                  <c:v>Laptop HP xyz i5</c:v>
                </c:pt>
                <c:pt idx="4">
                  <c:v>Mouse</c:v>
                </c:pt>
                <c:pt idx="5">
                  <c:v>Rgb Keyboard</c:v>
                </c:pt>
                <c:pt idx="6">
                  <c:v>Smart Watch</c:v>
                </c:pt>
                <c:pt idx="7">
                  <c:v>Speakers</c:v>
                </c:pt>
                <c:pt idx="8">
                  <c:v>Tablets</c:v>
                </c:pt>
                <c:pt idx="9">
                  <c:v>Wireless Printer</c:v>
                </c:pt>
              </c:strCache>
            </c:strRef>
          </c:cat>
          <c:val>
            <c:numRef>
              <c:f>Pivots!$B$21:$B$31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15</c:v>
                </c:pt>
                <c:pt idx="3">
                  <c:v>25</c:v>
                </c:pt>
                <c:pt idx="4">
                  <c:v>25</c:v>
                </c:pt>
                <c:pt idx="5">
                  <c:v>15</c:v>
                </c:pt>
                <c:pt idx="6">
                  <c:v>0</c:v>
                </c:pt>
                <c:pt idx="7">
                  <c:v>25</c:v>
                </c:pt>
                <c:pt idx="8">
                  <c:v>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1-4F52-A0C3-493F1D095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46674815"/>
        <c:axId val="246675295"/>
        <c:axId val="0"/>
      </c:bar3DChart>
      <c:catAx>
        <c:axId val="2466748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675295"/>
        <c:crosses val="autoZero"/>
        <c:auto val="1"/>
        <c:lblAlgn val="ctr"/>
        <c:lblOffset val="100"/>
        <c:noMultiLvlLbl val="0"/>
      </c:catAx>
      <c:valAx>
        <c:axId val="24667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6748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Purcahse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'New Entry'!A1"/><Relationship Id="rId12" Type="http://schemas.openxmlformats.org/officeDocument/2006/relationships/image" Target="../media/image4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29" Type="http://schemas.openxmlformats.org/officeDocument/2006/relationships/chart" Target="../charts/chart3.xml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3.png"/><Relationship Id="rId24" Type="http://schemas.openxmlformats.org/officeDocument/2006/relationships/image" Target="../media/image16.svg"/><Relationship Id="rId5" Type="http://schemas.openxmlformats.org/officeDocument/2006/relationships/hyperlink" Target="#Product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28" Type="http://schemas.openxmlformats.org/officeDocument/2006/relationships/chart" Target="../charts/chart2.xml"/><Relationship Id="rId10" Type="http://schemas.openxmlformats.org/officeDocument/2006/relationships/hyperlink" Target="#Inventory!A1"/><Relationship Id="rId19" Type="http://schemas.openxmlformats.org/officeDocument/2006/relationships/image" Target="../media/image11.pn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Relationship Id="rId27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Purcahse!A1"/><Relationship Id="rId13" Type="http://schemas.openxmlformats.org/officeDocument/2006/relationships/image" Target="../media/image21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'New Entry'!A1"/><Relationship Id="rId12" Type="http://schemas.openxmlformats.org/officeDocument/2006/relationships/image" Target="../media/image20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19.png"/><Relationship Id="rId24" Type="http://schemas.openxmlformats.org/officeDocument/2006/relationships/image" Target="../media/image16.svg"/><Relationship Id="rId5" Type="http://schemas.openxmlformats.org/officeDocument/2006/relationships/hyperlink" Target="#Product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Inventory!A1"/><Relationship Id="rId19" Type="http://schemas.openxmlformats.org/officeDocument/2006/relationships/image" Target="../media/image11.pn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22.svg"/><Relationship Id="rId22" Type="http://schemas.openxmlformats.org/officeDocument/2006/relationships/image" Target="../media/image14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Purcahse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'New Entry'!A1"/><Relationship Id="rId12" Type="http://schemas.openxmlformats.org/officeDocument/2006/relationships/image" Target="../media/image20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24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19.png"/><Relationship Id="rId24" Type="http://schemas.openxmlformats.org/officeDocument/2006/relationships/image" Target="../media/image16.svg"/><Relationship Id="rId5" Type="http://schemas.openxmlformats.org/officeDocument/2006/relationships/hyperlink" Target="#Products!A1"/><Relationship Id="rId15" Type="http://schemas.openxmlformats.org/officeDocument/2006/relationships/image" Target="../media/image23.png"/><Relationship Id="rId23" Type="http://schemas.openxmlformats.org/officeDocument/2006/relationships/image" Target="../media/image15.png"/><Relationship Id="rId10" Type="http://schemas.openxmlformats.org/officeDocument/2006/relationships/hyperlink" Target="#Inventory!A1"/><Relationship Id="rId19" Type="http://schemas.openxmlformats.org/officeDocument/2006/relationships/image" Target="../media/image11.pn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Purcahse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'New Entry'!A1"/><Relationship Id="rId12" Type="http://schemas.openxmlformats.org/officeDocument/2006/relationships/image" Target="../media/image20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19.png"/><Relationship Id="rId24" Type="http://schemas.openxmlformats.org/officeDocument/2006/relationships/image" Target="../media/image26.svg"/><Relationship Id="rId5" Type="http://schemas.openxmlformats.org/officeDocument/2006/relationships/hyperlink" Target="#Products!A1"/><Relationship Id="rId15" Type="http://schemas.openxmlformats.org/officeDocument/2006/relationships/image" Target="../media/image7.png"/><Relationship Id="rId23" Type="http://schemas.openxmlformats.org/officeDocument/2006/relationships/image" Target="../media/image25.png"/><Relationship Id="rId10" Type="http://schemas.openxmlformats.org/officeDocument/2006/relationships/hyperlink" Target="#Inventory!A1"/><Relationship Id="rId19" Type="http://schemas.openxmlformats.org/officeDocument/2006/relationships/image" Target="../media/image11.pn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Purcahse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'New Entry'!A1"/><Relationship Id="rId12" Type="http://schemas.openxmlformats.org/officeDocument/2006/relationships/image" Target="../media/image20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28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19.png"/><Relationship Id="rId24" Type="http://schemas.openxmlformats.org/officeDocument/2006/relationships/image" Target="../media/image16.svg"/><Relationship Id="rId5" Type="http://schemas.openxmlformats.org/officeDocument/2006/relationships/hyperlink" Target="#Product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Inventory!A1"/><Relationship Id="rId19" Type="http://schemas.openxmlformats.org/officeDocument/2006/relationships/image" Target="../media/image27.pn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Purcahse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29.png"/><Relationship Id="rId7" Type="http://schemas.openxmlformats.org/officeDocument/2006/relationships/hyperlink" Target="#'New Entry'!A1"/><Relationship Id="rId12" Type="http://schemas.openxmlformats.org/officeDocument/2006/relationships/image" Target="../media/image20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19.png"/><Relationship Id="rId24" Type="http://schemas.openxmlformats.org/officeDocument/2006/relationships/image" Target="../media/image16.svg"/><Relationship Id="rId5" Type="http://schemas.openxmlformats.org/officeDocument/2006/relationships/hyperlink" Target="#Product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Inventory!A1"/><Relationship Id="rId19" Type="http://schemas.openxmlformats.org/officeDocument/2006/relationships/image" Target="../media/image11.pn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6.svg"/><Relationship Id="rId22" Type="http://schemas.openxmlformats.org/officeDocument/2006/relationships/image" Target="../media/image30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Purcahse!A1"/><Relationship Id="rId13" Type="http://schemas.openxmlformats.org/officeDocument/2006/relationships/image" Target="../media/image5.png"/><Relationship Id="rId18" Type="http://schemas.openxmlformats.org/officeDocument/2006/relationships/image" Target="../media/image32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'New Entry'!A1"/><Relationship Id="rId12" Type="http://schemas.openxmlformats.org/officeDocument/2006/relationships/image" Target="../media/image20.svg"/><Relationship Id="rId17" Type="http://schemas.openxmlformats.org/officeDocument/2006/relationships/image" Target="../media/image31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19.png"/><Relationship Id="rId24" Type="http://schemas.openxmlformats.org/officeDocument/2006/relationships/image" Target="../media/image16.svg"/><Relationship Id="rId5" Type="http://schemas.openxmlformats.org/officeDocument/2006/relationships/hyperlink" Target="#Product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Inventory!A1"/><Relationship Id="rId19" Type="http://schemas.openxmlformats.org/officeDocument/2006/relationships/image" Target="../media/image11.pn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Purcahse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34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'New Entry'!A1"/><Relationship Id="rId12" Type="http://schemas.openxmlformats.org/officeDocument/2006/relationships/image" Target="../media/image20.svg"/><Relationship Id="rId17" Type="http://schemas.openxmlformats.org/officeDocument/2006/relationships/image" Target="../media/image9.png"/><Relationship Id="rId25" Type="http://schemas.openxmlformats.org/officeDocument/2006/relationships/image" Target="../media/image33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19.png"/><Relationship Id="rId24" Type="http://schemas.openxmlformats.org/officeDocument/2006/relationships/image" Target="../media/image16.svg"/><Relationship Id="rId5" Type="http://schemas.openxmlformats.org/officeDocument/2006/relationships/hyperlink" Target="#Product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Inventory!A1"/><Relationship Id="rId19" Type="http://schemas.openxmlformats.org/officeDocument/2006/relationships/image" Target="../media/image11.pn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1</xdr:row>
      <xdr:rowOff>45720</xdr:rowOff>
    </xdr:from>
    <xdr:to>
      <xdr:col>1</xdr:col>
      <xdr:colOff>1165860</xdr:colOff>
      <xdr:row>4</xdr:row>
      <xdr:rowOff>91440</xdr:rowOff>
    </xdr:to>
    <xdr:pic>
      <xdr:nvPicPr>
        <xdr:cNvPr id="3" name="Graphic 2" descr="Search Inventory with solid fill">
          <a:extLst>
            <a:ext uri="{FF2B5EF4-FFF2-40B4-BE49-F238E27FC236}">
              <a16:creationId xmlns:a16="http://schemas.microsoft.com/office/drawing/2014/main" id="{8D9A5BA9-524B-FD5D-2764-9FCDCFC9E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91540" y="2286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30480</xdr:colOff>
      <xdr:row>4</xdr:row>
      <xdr:rowOff>91440</xdr:rowOff>
    </xdr:from>
    <xdr:to>
      <xdr:col>1</xdr:col>
      <xdr:colOff>1638300</xdr:colOff>
      <xdr:row>7</xdr:row>
      <xdr:rowOff>45720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6687AC8-862E-A741-CAD8-E2265B71E580}"/>
            </a:ext>
          </a:extLst>
        </xdr:cNvPr>
        <xdr:cNvSpPr/>
      </xdr:nvSpPr>
      <xdr:spPr>
        <a:xfrm>
          <a:off x="350520" y="822960"/>
          <a:ext cx="1607820" cy="5029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tx1"/>
              </a:solidFill>
            </a:rPr>
            <a:t>Inventory</a:t>
          </a:r>
          <a:endParaRPr lang="en-IN" sz="1200" b="1" baseline="0">
            <a:solidFill>
              <a:schemeClr val="tx1"/>
            </a:solidFill>
          </a:endParaRPr>
        </a:p>
        <a:p>
          <a:pPr algn="ctr"/>
          <a:r>
            <a:rPr lang="en-IN" sz="1200" b="1" baseline="0">
              <a:solidFill>
                <a:schemeClr val="tx1"/>
              </a:solidFill>
            </a:rPr>
            <a:t>Management System</a:t>
          </a:r>
          <a:endParaRPr lang="en-IN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525780</xdr:colOff>
      <xdr:row>8</xdr:row>
      <xdr:rowOff>30480</xdr:rowOff>
    </xdr:from>
    <xdr:to>
      <xdr:col>1</xdr:col>
      <xdr:colOff>1455420</xdr:colOff>
      <xdr:row>9</xdr:row>
      <xdr:rowOff>129540</xdr:rowOff>
    </xdr:to>
    <xdr:sp macro="" textlink="">
      <xdr:nvSpPr>
        <xdr:cNvPr id="7" name="Rectangle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F5027C8-AD49-6B10-FB3E-2FDFB30F80B5}"/>
            </a:ext>
          </a:extLst>
        </xdr:cNvPr>
        <xdr:cNvSpPr/>
      </xdr:nvSpPr>
      <xdr:spPr>
        <a:xfrm>
          <a:off x="845820" y="1493520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/>
              </a:solidFill>
            </a:rPr>
            <a:t>Dashboard</a:t>
          </a:r>
        </a:p>
      </xdr:txBody>
    </xdr:sp>
    <xdr:clientData/>
  </xdr:twoCellAnchor>
  <xdr:twoCellAnchor>
    <xdr:from>
      <xdr:col>1</xdr:col>
      <xdr:colOff>525780</xdr:colOff>
      <xdr:row>9</xdr:row>
      <xdr:rowOff>168593</xdr:rowOff>
    </xdr:from>
    <xdr:to>
      <xdr:col>1</xdr:col>
      <xdr:colOff>1455420</xdr:colOff>
      <xdr:row>11</xdr:row>
      <xdr:rowOff>84773</xdr:rowOff>
    </xdr:to>
    <xdr:sp macro="" textlink="">
      <xdr:nvSpPr>
        <xdr:cNvPr id="8" name="Rectangle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47A2AD7-A625-687E-228E-17E161B84DA8}"/>
            </a:ext>
          </a:extLst>
        </xdr:cNvPr>
        <xdr:cNvSpPr/>
      </xdr:nvSpPr>
      <xdr:spPr>
        <a:xfrm>
          <a:off x="845820" y="1814513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>
    <xdr:from>
      <xdr:col>1</xdr:col>
      <xdr:colOff>525780</xdr:colOff>
      <xdr:row>11</xdr:row>
      <xdr:rowOff>123826</xdr:rowOff>
    </xdr:from>
    <xdr:to>
      <xdr:col>1</xdr:col>
      <xdr:colOff>1455420</xdr:colOff>
      <xdr:row>13</xdr:row>
      <xdr:rowOff>40006</xdr:rowOff>
    </xdr:to>
    <xdr:sp macro="" textlink="">
      <xdr:nvSpPr>
        <xdr:cNvPr id="9" name="Rectangle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0B7ACEB-D11A-2623-349E-B59E0B74D597}"/>
            </a:ext>
          </a:extLst>
        </xdr:cNvPr>
        <xdr:cNvSpPr/>
      </xdr:nvSpPr>
      <xdr:spPr>
        <a:xfrm>
          <a:off x="845820" y="2135506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>
    <xdr:from>
      <xdr:col>1</xdr:col>
      <xdr:colOff>525780</xdr:colOff>
      <xdr:row>13</xdr:row>
      <xdr:rowOff>79059</xdr:rowOff>
    </xdr:from>
    <xdr:to>
      <xdr:col>1</xdr:col>
      <xdr:colOff>1455420</xdr:colOff>
      <xdr:row>14</xdr:row>
      <xdr:rowOff>178119</xdr:rowOff>
    </xdr:to>
    <xdr:sp macro="" textlink="">
      <xdr:nvSpPr>
        <xdr:cNvPr id="10" name="Rectangle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F55A488-2725-F8F3-53A4-0E56C22B57B2}"/>
            </a:ext>
          </a:extLst>
        </xdr:cNvPr>
        <xdr:cNvSpPr/>
      </xdr:nvSpPr>
      <xdr:spPr>
        <a:xfrm>
          <a:off x="845820" y="2456499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>
    <xdr:from>
      <xdr:col>1</xdr:col>
      <xdr:colOff>525780</xdr:colOff>
      <xdr:row>15</xdr:row>
      <xdr:rowOff>34292</xdr:rowOff>
    </xdr:from>
    <xdr:to>
      <xdr:col>1</xdr:col>
      <xdr:colOff>1455420</xdr:colOff>
      <xdr:row>16</xdr:row>
      <xdr:rowOff>133352</xdr:rowOff>
    </xdr:to>
    <xdr:sp macro="" textlink="">
      <xdr:nvSpPr>
        <xdr:cNvPr id="11" name="Rectangle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8C5F969-700E-5B27-21EF-D74466FAD797}"/>
            </a:ext>
          </a:extLst>
        </xdr:cNvPr>
        <xdr:cNvSpPr/>
      </xdr:nvSpPr>
      <xdr:spPr>
        <a:xfrm>
          <a:off x="845820" y="2777492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>
    <xdr:from>
      <xdr:col>1</xdr:col>
      <xdr:colOff>525780</xdr:colOff>
      <xdr:row>16</xdr:row>
      <xdr:rowOff>172405</xdr:rowOff>
    </xdr:from>
    <xdr:to>
      <xdr:col>1</xdr:col>
      <xdr:colOff>1455420</xdr:colOff>
      <xdr:row>18</xdr:row>
      <xdr:rowOff>88585</xdr:rowOff>
    </xdr:to>
    <xdr:sp macro="" textlink="">
      <xdr:nvSpPr>
        <xdr:cNvPr id="12" name="Rectangle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7317B29-108B-503D-D373-D45D12CCCF3B}"/>
            </a:ext>
          </a:extLst>
        </xdr:cNvPr>
        <xdr:cNvSpPr/>
      </xdr:nvSpPr>
      <xdr:spPr>
        <a:xfrm>
          <a:off x="845820" y="3098485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Purcahse</a:t>
          </a:r>
        </a:p>
      </xdr:txBody>
    </xdr:sp>
    <xdr:clientData/>
  </xdr:twoCellAnchor>
  <xdr:twoCellAnchor>
    <xdr:from>
      <xdr:col>1</xdr:col>
      <xdr:colOff>525780</xdr:colOff>
      <xdr:row>18</xdr:row>
      <xdr:rowOff>127638</xdr:rowOff>
    </xdr:from>
    <xdr:to>
      <xdr:col>1</xdr:col>
      <xdr:colOff>1455420</xdr:colOff>
      <xdr:row>20</xdr:row>
      <xdr:rowOff>43818</xdr:rowOff>
    </xdr:to>
    <xdr:sp macro="" textlink="">
      <xdr:nvSpPr>
        <xdr:cNvPr id="13" name="Rectangle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7FDB7E0-5AD3-3414-0599-27EB56432738}"/>
            </a:ext>
          </a:extLst>
        </xdr:cNvPr>
        <xdr:cNvSpPr/>
      </xdr:nvSpPr>
      <xdr:spPr>
        <a:xfrm>
          <a:off x="845820" y="3419478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>
    <xdr:from>
      <xdr:col>1</xdr:col>
      <xdr:colOff>525780</xdr:colOff>
      <xdr:row>20</xdr:row>
      <xdr:rowOff>82870</xdr:rowOff>
    </xdr:from>
    <xdr:to>
      <xdr:col>1</xdr:col>
      <xdr:colOff>1455420</xdr:colOff>
      <xdr:row>21</xdr:row>
      <xdr:rowOff>181930</xdr:rowOff>
    </xdr:to>
    <xdr:sp macro="" textlink="">
      <xdr:nvSpPr>
        <xdr:cNvPr id="14" name="Rectangle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5715FE9-5D79-2460-2265-4734A8F1F5C0}"/>
            </a:ext>
          </a:extLst>
        </xdr:cNvPr>
        <xdr:cNvSpPr/>
      </xdr:nvSpPr>
      <xdr:spPr>
        <a:xfrm>
          <a:off x="845820" y="3740470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>
    <xdr:from>
      <xdr:col>1</xdr:col>
      <xdr:colOff>525780</xdr:colOff>
      <xdr:row>22</xdr:row>
      <xdr:rowOff>38100</xdr:rowOff>
    </xdr:from>
    <xdr:to>
      <xdr:col>1</xdr:col>
      <xdr:colOff>1455420</xdr:colOff>
      <xdr:row>23</xdr:row>
      <xdr:rowOff>137160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9E6C9A5A-2B80-4AA5-7F24-E4989C54886A}"/>
            </a:ext>
          </a:extLst>
        </xdr:cNvPr>
        <xdr:cNvSpPr/>
      </xdr:nvSpPr>
      <xdr:spPr>
        <a:xfrm>
          <a:off x="845820" y="4061460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N" sz="1200" b="1" baseline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152400</xdr:colOff>
      <xdr:row>8</xdr:row>
      <xdr:rowOff>22860</xdr:rowOff>
    </xdr:from>
    <xdr:to>
      <xdr:col>1</xdr:col>
      <xdr:colOff>457200</xdr:colOff>
      <xdr:row>9</xdr:row>
      <xdr:rowOff>129540</xdr:rowOff>
    </xdr:to>
    <xdr:pic>
      <xdr:nvPicPr>
        <xdr:cNvPr id="17" name="Graphic 16" descr="Clipboard Partially Crossed outline">
          <a:extLst>
            <a:ext uri="{FF2B5EF4-FFF2-40B4-BE49-F238E27FC236}">
              <a16:creationId xmlns:a16="http://schemas.microsoft.com/office/drawing/2014/main" id="{97D039D2-BC80-0228-78C5-905AFAAC1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72440" y="1485900"/>
          <a:ext cx="304800" cy="289560"/>
        </a:xfrm>
        <a:prstGeom prst="rect">
          <a:avLst/>
        </a:prstGeom>
      </xdr:spPr>
    </xdr:pic>
    <xdr:clientData/>
  </xdr:twoCellAnchor>
  <xdr:twoCellAnchor editAs="oneCell">
    <xdr:from>
      <xdr:col>1</xdr:col>
      <xdr:colOff>144780</xdr:colOff>
      <xdr:row>9</xdr:row>
      <xdr:rowOff>152400</xdr:rowOff>
    </xdr:from>
    <xdr:to>
      <xdr:col>1</xdr:col>
      <xdr:colOff>502920</xdr:colOff>
      <xdr:row>11</xdr:row>
      <xdr:rowOff>91440</xdr:rowOff>
    </xdr:to>
    <xdr:pic>
      <xdr:nvPicPr>
        <xdr:cNvPr id="19" name="Graphic 18" descr="User outline">
          <a:extLst>
            <a:ext uri="{FF2B5EF4-FFF2-40B4-BE49-F238E27FC236}">
              <a16:creationId xmlns:a16="http://schemas.microsoft.com/office/drawing/2014/main" id="{146D2575-B0D1-0D9D-5829-54C8EA98A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64820" y="1798320"/>
          <a:ext cx="35814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11</xdr:row>
      <xdr:rowOff>114300</xdr:rowOff>
    </xdr:from>
    <xdr:to>
      <xdr:col>1</xdr:col>
      <xdr:colOff>495300</xdr:colOff>
      <xdr:row>13</xdr:row>
      <xdr:rowOff>76200</xdr:rowOff>
    </xdr:to>
    <xdr:pic>
      <xdr:nvPicPr>
        <xdr:cNvPr id="21" name="Graphic 20" descr="Continuous Improvement outline">
          <a:extLst>
            <a:ext uri="{FF2B5EF4-FFF2-40B4-BE49-F238E27FC236}">
              <a16:creationId xmlns:a16="http://schemas.microsoft.com/office/drawing/2014/main" id="{CF4A3F09-55B8-7A82-E2A7-FC7CCCBE3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72440" y="2125980"/>
          <a:ext cx="342900" cy="32766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18</xdr:row>
      <xdr:rowOff>121920</xdr:rowOff>
    </xdr:from>
    <xdr:to>
      <xdr:col>1</xdr:col>
      <xdr:colOff>449580</xdr:colOff>
      <xdr:row>20</xdr:row>
      <xdr:rowOff>7620</xdr:rowOff>
    </xdr:to>
    <xdr:pic>
      <xdr:nvPicPr>
        <xdr:cNvPr id="23" name="Graphic 22" descr="Kiosk outline">
          <a:extLst>
            <a:ext uri="{FF2B5EF4-FFF2-40B4-BE49-F238E27FC236}">
              <a16:creationId xmlns:a16="http://schemas.microsoft.com/office/drawing/2014/main" id="{D134C72D-5BFF-F5CB-70AF-C1BFAA0CB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72440" y="3413760"/>
          <a:ext cx="297180" cy="25146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15</xdr:row>
      <xdr:rowOff>7620</xdr:rowOff>
    </xdr:from>
    <xdr:to>
      <xdr:col>1</xdr:col>
      <xdr:colOff>464820</xdr:colOff>
      <xdr:row>16</xdr:row>
      <xdr:rowOff>137160</xdr:rowOff>
    </xdr:to>
    <xdr:pic>
      <xdr:nvPicPr>
        <xdr:cNvPr id="25" name="Graphic 24" descr="Ticket outline">
          <a:extLst>
            <a:ext uri="{FF2B5EF4-FFF2-40B4-BE49-F238E27FC236}">
              <a16:creationId xmlns:a16="http://schemas.microsoft.com/office/drawing/2014/main" id="{934B5CAC-B8FA-CB9F-C512-20A5A451D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72440" y="2750820"/>
          <a:ext cx="312420" cy="3124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16</xdr:row>
      <xdr:rowOff>121920</xdr:rowOff>
    </xdr:from>
    <xdr:to>
      <xdr:col>1</xdr:col>
      <xdr:colOff>525780</xdr:colOff>
      <xdr:row>18</xdr:row>
      <xdr:rowOff>76200</xdr:rowOff>
    </xdr:to>
    <xdr:pic>
      <xdr:nvPicPr>
        <xdr:cNvPr id="27" name="Graphic 26" descr="Shopping bag outline">
          <a:extLst>
            <a:ext uri="{FF2B5EF4-FFF2-40B4-BE49-F238E27FC236}">
              <a16:creationId xmlns:a16="http://schemas.microsoft.com/office/drawing/2014/main" id="{D3B811CC-AB3B-03BB-5CFE-9785FEC5A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72440" y="3048000"/>
          <a:ext cx="373380" cy="32004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13</xdr:row>
      <xdr:rowOff>91440</xdr:rowOff>
    </xdr:from>
    <xdr:to>
      <xdr:col>1</xdr:col>
      <xdr:colOff>495300</xdr:colOff>
      <xdr:row>15</xdr:row>
      <xdr:rowOff>0</xdr:rowOff>
    </xdr:to>
    <xdr:pic>
      <xdr:nvPicPr>
        <xdr:cNvPr id="29" name="Graphic 28" descr="For Sale outline">
          <a:extLst>
            <a:ext uri="{FF2B5EF4-FFF2-40B4-BE49-F238E27FC236}">
              <a16:creationId xmlns:a16="http://schemas.microsoft.com/office/drawing/2014/main" id="{7C953A1F-AB5C-B536-86F8-2DACCB1DA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72440" y="2468880"/>
          <a:ext cx="34290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20</xdr:row>
      <xdr:rowOff>60960</xdr:rowOff>
    </xdr:from>
    <xdr:to>
      <xdr:col>1</xdr:col>
      <xdr:colOff>480060</xdr:colOff>
      <xdr:row>21</xdr:row>
      <xdr:rowOff>152400</xdr:rowOff>
    </xdr:to>
    <xdr:pic>
      <xdr:nvPicPr>
        <xdr:cNvPr id="31" name="Graphic 30" descr="Inventory outline">
          <a:extLst>
            <a:ext uri="{FF2B5EF4-FFF2-40B4-BE49-F238E27FC236}">
              <a16:creationId xmlns:a16="http://schemas.microsoft.com/office/drawing/2014/main" id="{4BCE256D-DAD5-2239-6611-412CFD454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72440" y="3718560"/>
          <a:ext cx="327660" cy="274320"/>
        </a:xfrm>
        <a:prstGeom prst="rect">
          <a:avLst/>
        </a:prstGeom>
      </xdr:spPr>
    </xdr:pic>
    <xdr:clientData/>
  </xdr:twoCellAnchor>
  <xdr:twoCellAnchor editAs="absolute">
    <xdr:from>
      <xdr:col>3</xdr:col>
      <xdr:colOff>7620</xdr:colOff>
      <xdr:row>1</xdr:row>
      <xdr:rowOff>7620</xdr:rowOff>
    </xdr:from>
    <xdr:to>
      <xdr:col>15</xdr:col>
      <xdr:colOff>777240</xdr:colOff>
      <xdr:row>3</xdr:row>
      <xdr:rowOff>137160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EACFEE03-D523-3D53-2498-9FBFA036F6CE}"/>
            </a:ext>
          </a:extLst>
        </xdr:cNvPr>
        <xdr:cNvSpPr/>
      </xdr:nvSpPr>
      <xdr:spPr>
        <a:xfrm>
          <a:off x="2331720" y="190500"/>
          <a:ext cx="8168640" cy="4953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3200" b="1">
              <a:solidFill>
                <a:schemeClr val="tx1"/>
              </a:solidFill>
            </a:rPr>
            <a:t>   Inventory</a:t>
          </a:r>
          <a:r>
            <a:rPr lang="en-IN" sz="3200" b="1" baseline="0">
              <a:solidFill>
                <a:schemeClr val="tx1"/>
              </a:solidFill>
            </a:rPr>
            <a:t> Managment System</a:t>
          </a:r>
          <a:endParaRPr lang="en-IN" sz="3200" b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3</xdr:col>
      <xdr:colOff>38100</xdr:colOff>
      <xdr:row>5</xdr:row>
      <xdr:rowOff>53340</xdr:rowOff>
    </xdr:from>
    <xdr:to>
      <xdr:col>5</xdr:col>
      <xdr:colOff>22860</xdr:colOff>
      <xdr:row>7</xdr:row>
      <xdr:rowOff>167640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5BCB3FF9-B287-A223-4C40-004C0069651D}"/>
            </a:ext>
          </a:extLst>
        </xdr:cNvPr>
        <xdr:cNvSpPr/>
      </xdr:nvSpPr>
      <xdr:spPr>
        <a:xfrm>
          <a:off x="2362200" y="967740"/>
          <a:ext cx="1203960" cy="480060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en-IN" sz="1200" b="1">
              <a:solidFill>
                <a:schemeClr val="tx1"/>
              </a:solidFill>
            </a:rPr>
            <a:t>Customers</a:t>
          </a:r>
        </a:p>
      </xdr:txBody>
    </xdr:sp>
    <xdr:clientData/>
  </xdr:twoCellAnchor>
  <xdr:twoCellAnchor editAs="absolute">
    <xdr:from>
      <xdr:col>3</xdr:col>
      <xdr:colOff>30480</xdr:colOff>
      <xdr:row>5</xdr:row>
      <xdr:rowOff>53340</xdr:rowOff>
    </xdr:from>
    <xdr:to>
      <xdr:col>3</xdr:col>
      <xdr:colOff>213360</xdr:colOff>
      <xdr:row>7</xdr:row>
      <xdr:rowOff>167640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6D6883F8-97DC-10E2-C9A6-820BEF4BE46D}"/>
            </a:ext>
          </a:extLst>
        </xdr:cNvPr>
        <xdr:cNvSpPr/>
      </xdr:nvSpPr>
      <xdr:spPr>
        <a:xfrm>
          <a:off x="2354580" y="967740"/>
          <a:ext cx="182880" cy="48006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IN" sz="3200" b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160020</xdr:colOff>
      <xdr:row>5</xdr:row>
      <xdr:rowOff>45720</xdr:rowOff>
    </xdr:from>
    <xdr:to>
      <xdr:col>7</xdr:col>
      <xdr:colOff>243840</xdr:colOff>
      <xdr:row>7</xdr:row>
      <xdr:rowOff>167640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C605E9F3-5D71-E9C6-C489-0211C7A60BD3}"/>
            </a:ext>
          </a:extLst>
        </xdr:cNvPr>
        <xdr:cNvSpPr/>
      </xdr:nvSpPr>
      <xdr:spPr>
        <a:xfrm>
          <a:off x="3703320" y="960120"/>
          <a:ext cx="1303020" cy="487680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en-IN" sz="1200" b="1">
              <a:solidFill>
                <a:schemeClr val="tx1"/>
              </a:solidFill>
            </a:rPr>
            <a:t>Products</a:t>
          </a:r>
        </a:p>
      </xdr:txBody>
    </xdr:sp>
    <xdr:clientData/>
  </xdr:twoCellAnchor>
  <xdr:twoCellAnchor editAs="absolute">
    <xdr:from>
      <xdr:col>5</xdr:col>
      <xdr:colOff>160020</xdr:colOff>
      <xdr:row>5</xdr:row>
      <xdr:rowOff>53340</xdr:rowOff>
    </xdr:from>
    <xdr:to>
      <xdr:col>5</xdr:col>
      <xdr:colOff>342900</xdr:colOff>
      <xdr:row>7</xdr:row>
      <xdr:rowOff>167640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F47BF95-7568-623B-F53C-3823C9BBAA95}"/>
            </a:ext>
          </a:extLst>
        </xdr:cNvPr>
        <xdr:cNvSpPr/>
      </xdr:nvSpPr>
      <xdr:spPr>
        <a:xfrm>
          <a:off x="3703320" y="967740"/>
          <a:ext cx="182880" cy="480060"/>
        </a:xfrm>
        <a:prstGeom prst="rect">
          <a:avLst/>
        </a:prstGeom>
        <a:solidFill>
          <a:srgbClr val="7030A0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IN" sz="3200" b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7</xdr:col>
      <xdr:colOff>388620</xdr:colOff>
      <xdr:row>5</xdr:row>
      <xdr:rowOff>38100</xdr:rowOff>
    </xdr:from>
    <xdr:to>
      <xdr:col>9</xdr:col>
      <xdr:colOff>472440</xdr:colOff>
      <xdr:row>7</xdr:row>
      <xdr:rowOff>167640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C26DA8-4E24-C452-B76E-13D658D4FDBD}"/>
            </a:ext>
          </a:extLst>
        </xdr:cNvPr>
        <xdr:cNvSpPr/>
      </xdr:nvSpPr>
      <xdr:spPr>
        <a:xfrm>
          <a:off x="5151120" y="952500"/>
          <a:ext cx="1303020" cy="4953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en-IN" sz="1200" b="1">
              <a:solidFill>
                <a:schemeClr val="tx1"/>
              </a:solidFill>
            </a:rPr>
            <a:t>Purchase</a:t>
          </a:r>
          <a:r>
            <a:rPr lang="en-IN" sz="1200" b="1" baseline="0">
              <a:solidFill>
                <a:schemeClr val="tx1"/>
              </a:solidFill>
            </a:rPr>
            <a:t> Amt.</a:t>
          </a:r>
          <a:endParaRPr lang="en-IN" sz="1200" b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7</xdr:col>
      <xdr:colOff>381000</xdr:colOff>
      <xdr:row>5</xdr:row>
      <xdr:rowOff>38100</xdr:rowOff>
    </xdr:from>
    <xdr:to>
      <xdr:col>7</xdr:col>
      <xdr:colOff>556260</xdr:colOff>
      <xdr:row>7</xdr:row>
      <xdr:rowOff>167640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B3188444-2100-96EC-B622-FC09BCF6ABC1}"/>
            </a:ext>
          </a:extLst>
        </xdr:cNvPr>
        <xdr:cNvSpPr/>
      </xdr:nvSpPr>
      <xdr:spPr>
        <a:xfrm>
          <a:off x="5143500" y="952500"/>
          <a:ext cx="175260" cy="495300"/>
        </a:xfrm>
        <a:prstGeom prst="rect">
          <a:avLst/>
        </a:prstGeom>
        <a:solidFill>
          <a:schemeClr val="accent6">
            <a:lumMod val="7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IN" sz="3200" b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9</xdr:col>
      <xdr:colOff>548640</xdr:colOff>
      <xdr:row>5</xdr:row>
      <xdr:rowOff>38100</xdr:rowOff>
    </xdr:from>
    <xdr:to>
      <xdr:col>12</xdr:col>
      <xdr:colOff>22860</xdr:colOff>
      <xdr:row>7</xdr:row>
      <xdr:rowOff>160020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FF15AD66-EEF0-DA00-B983-269044631610}"/>
            </a:ext>
          </a:extLst>
        </xdr:cNvPr>
        <xdr:cNvSpPr/>
      </xdr:nvSpPr>
      <xdr:spPr>
        <a:xfrm>
          <a:off x="6530340" y="952500"/>
          <a:ext cx="1303020" cy="48768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en-IN" sz="1200" b="1">
              <a:solidFill>
                <a:schemeClr val="tx1"/>
              </a:solidFill>
            </a:rPr>
            <a:t>Sales</a:t>
          </a:r>
          <a:r>
            <a:rPr lang="en-IN" sz="1200" b="1" baseline="0">
              <a:solidFill>
                <a:schemeClr val="tx1"/>
              </a:solidFill>
            </a:rPr>
            <a:t> Amt.</a:t>
          </a:r>
          <a:endParaRPr lang="en-IN" sz="1200" b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9</xdr:col>
      <xdr:colOff>548640</xdr:colOff>
      <xdr:row>5</xdr:row>
      <xdr:rowOff>38100</xdr:rowOff>
    </xdr:from>
    <xdr:to>
      <xdr:col>10</xdr:col>
      <xdr:colOff>114300</xdr:colOff>
      <xdr:row>7</xdr:row>
      <xdr:rowOff>160020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B56F1B29-9420-BC22-E4E7-3087BC2834D2}"/>
            </a:ext>
          </a:extLst>
        </xdr:cNvPr>
        <xdr:cNvSpPr/>
      </xdr:nvSpPr>
      <xdr:spPr>
        <a:xfrm>
          <a:off x="6530340" y="952500"/>
          <a:ext cx="175260" cy="48768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IN" sz="3200" b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12</xdr:col>
      <xdr:colOff>83820</xdr:colOff>
      <xdr:row>5</xdr:row>
      <xdr:rowOff>30480</xdr:rowOff>
    </xdr:from>
    <xdr:to>
      <xdr:col>14</xdr:col>
      <xdr:colOff>83820</xdr:colOff>
      <xdr:row>7</xdr:row>
      <xdr:rowOff>152400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3387BC46-B2AA-0411-9DF6-C6FC59110917}"/>
            </a:ext>
          </a:extLst>
        </xdr:cNvPr>
        <xdr:cNvSpPr/>
      </xdr:nvSpPr>
      <xdr:spPr>
        <a:xfrm>
          <a:off x="7894320" y="944880"/>
          <a:ext cx="1303020" cy="48768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en-IN" sz="1200" b="1">
              <a:solidFill>
                <a:schemeClr val="tx1"/>
              </a:solidFill>
            </a:rPr>
            <a:t>Stock</a:t>
          </a:r>
          <a:r>
            <a:rPr lang="en-IN" sz="1200" b="1" baseline="0">
              <a:solidFill>
                <a:schemeClr val="tx1"/>
              </a:solidFill>
            </a:rPr>
            <a:t> Amt.</a:t>
          </a:r>
          <a:endParaRPr lang="en-IN" sz="1200" b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12</xdr:col>
      <xdr:colOff>91440</xdr:colOff>
      <xdr:row>5</xdr:row>
      <xdr:rowOff>30480</xdr:rowOff>
    </xdr:from>
    <xdr:to>
      <xdr:col>12</xdr:col>
      <xdr:colOff>259080</xdr:colOff>
      <xdr:row>7</xdr:row>
      <xdr:rowOff>152400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70CE8DAD-7F8C-A5A0-F49E-A6500C742156}"/>
            </a:ext>
          </a:extLst>
        </xdr:cNvPr>
        <xdr:cNvSpPr/>
      </xdr:nvSpPr>
      <xdr:spPr>
        <a:xfrm>
          <a:off x="7901940" y="944880"/>
          <a:ext cx="167640" cy="48768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IN" sz="3200" b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14</xdr:col>
      <xdr:colOff>190500</xdr:colOff>
      <xdr:row>5</xdr:row>
      <xdr:rowOff>30480</xdr:rowOff>
    </xdr:from>
    <xdr:to>
      <xdr:col>15</xdr:col>
      <xdr:colOff>784860</xdr:colOff>
      <xdr:row>7</xdr:row>
      <xdr:rowOff>144780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B49F49CA-215B-35DE-B589-2821BA3B99FD}"/>
            </a:ext>
          </a:extLst>
        </xdr:cNvPr>
        <xdr:cNvSpPr/>
      </xdr:nvSpPr>
      <xdr:spPr>
        <a:xfrm>
          <a:off x="9304020" y="944880"/>
          <a:ext cx="1203960" cy="480060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en-IN" sz="1200" b="1">
              <a:solidFill>
                <a:schemeClr val="tx1"/>
              </a:solidFill>
            </a:rPr>
            <a:t>Profit/Loss</a:t>
          </a:r>
        </a:p>
      </xdr:txBody>
    </xdr:sp>
    <xdr:clientData/>
  </xdr:twoCellAnchor>
  <xdr:twoCellAnchor editAs="absolute">
    <xdr:from>
      <xdr:col>14</xdr:col>
      <xdr:colOff>198120</xdr:colOff>
      <xdr:row>5</xdr:row>
      <xdr:rowOff>30480</xdr:rowOff>
    </xdr:from>
    <xdr:to>
      <xdr:col>14</xdr:col>
      <xdr:colOff>373380</xdr:colOff>
      <xdr:row>7</xdr:row>
      <xdr:rowOff>137160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DB681F66-81B1-54BC-5D20-F118F8C1FAE0}"/>
            </a:ext>
          </a:extLst>
        </xdr:cNvPr>
        <xdr:cNvSpPr/>
      </xdr:nvSpPr>
      <xdr:spPr>
        <a:xfrm>
          <a:off x="9311640" y="944880"/>
          <a:ext cx="175260" cy="47244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IN" sz="3200" b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3</xdr:col>
      <xdr:colOff>289560</xdr:colOff>
      <xdr:row>6</xdr:row>
      <xdr:rowOff>106680</xdr:rowOff>
    </xdr:from>
    <xdr:to>
      <xdr:col>4</xdr:col>
      <xdr:colOff>396240</xdr:colOff>
      <xdr:row>7</xdr:row>
      <xdr:rowOff>144780</xdr:rowOff>
    </xdr:to>
    <xdr:sp macro="" textlink="Pivots!C3">
      <xdr:nvSpPr>
        <xdr:cNvPr id="47" name="Rectangle 46">
          <a:extLst>
            <a:ext uri="{FF2B5EF4-FFF2-40B4-BE49-F238E27FC236}">
              <a16:creationId xmlns:a16="http://schemas.microsoft.com/office/drawing/2014/main" id="{70CB7946-0102-4A3A-7105-8844119A5E27}"/>
            </a:ext>
          </a:extLst>
        </xdr:cNvPr>
        <xdr:cNvSpPr/>
      </xdr:nvSpPr>
      <xdr:spPr>
        <a:xfrm>
          <a:off x="2613660" y="1203960"/>
          <a:ext cx="716280" cy="220980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l"/>
          <a:fld id="{173FBA69-E47F-4E29-9435-535F4948F3F7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t>8</a:t>
          </a:fld>
          <a:endParaRPr lang="en-IN" sz="1200" b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426720</xdr:colOff>
      <xdr:row>6</xdr:row>
      <xdr:rowOff>91440</xdr:rowOff>
    </xdr:from>
    <xdr:to>
      <xdr:col>6</xdr:col>
      <xdr:colOff>594360</xdr:colOff>
      <xdr:row>7</xdr:row>
      <xdr:rowOff>144780</xdr:rowOff>
    </xdr:to>
    <xdr:sp macro="" textlink="Pivots!C6">
      <xdr:nvSpPr>
        <xdr:cNvPr id="48" name="Rectangle 47">
          <a:extLst>
            <a:ext uri="{FF2B5EF4-FFF2-40B4-BE49-F238E27FC236}">
              <a16:creationId xmlns:a16="http://schemas.microsoft.com/office/drawing/2014/main" id="{19C18D92-B462-DAAF-B8E8-FDDABFC7E5BA}"/>
            </a:ext>
          </a:extLst>
        </xdr:cNvPr>
        <xdr:cNvSpPr/>
      </xdr:nvSpPr>
      <xdr:spPr>
        <a:xfrm>
          <a:off x="3970020" y="1188720"/>
          <a:ext cx="777240" cy="236220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l"/>
          <a:fld id="{655A856B-1B59-47B2-A7C6-6ED922D9FCF4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t>10</a:t>
          </a:fld>
          <a:endParaRPr lang="en-IN" sz="1200" b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8</xdr:col>
      <xdr:colOff>38100</xdr:colOff>
      <xdr:row>6</xdr:row>
      <xdr:rowOff>91440</xdr:rowOff>
    </xdr:from>
    <xdr:to>
      <xdr:col>9</xdr:col>
      <xdr:colOff>327660</xdr:colOff>
      <xdr:row>7</xdr:row>
      <xdr:rowOff>129540</xdr:rowOff>
    </xdr:to>
    <xdr:sp macro="" textlink="Pivots!C9">
      <xdr:nvSpPr>
        <xdr:cNvPr id="49" name="Rectangle 48">
          <a:extLst>
            <a:ext uri="{FF2B5EF4-FFF2-40B4-BE49-F238E27FC236}">
              <a16:creationId xmlns:a16="http://schemas.microsoft.com/office/drawing/2014/main" id="{8BF558D2-D194-7928-0AEA-54DCFF59BE0C}"/>
            </a:ext>
          </a:extLst>
        </xdr:cNvPr>
        <xdr:cNvSpPr/>
      </xdr:nvSpPr>
      <xdr:spPr>
        <a:xfrm>
          <a:off x="5410200" y="1188720"/>
          <a:ext cx="899160" cy="220980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l"/>
          <a:fld id="{501735D4-6C81-4EC4-B8FD-BCCCC6D041FC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t>₹ 23,45,830</a:t>
          </a:fld>
          <a:endParaRPr lang="en-IN" sz="1200" b="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10</xdr:col>
      <xdr:colOff>228600</xdr:colOff>
      <xdr:row>6</xdr:row>
      <xdr:rowOff>76200</xdr:rowOff>
    </xdr:from>
    <xdr:to>
      <xdr:col>11</xdr:col>
      <xdr:colOff>487680</xdr:colOff>
      <xdr:row>7</xdr:row>
      <xdr:rowOff>129540</xdr:rowOff>
    </xdr:to>
    <xdr:sp macro="" textlink="Pivots!C12">
      <xdr:nvSpPr>
        <xdr:cNvPr id="50" name="Rectangle 49">
          <a:extLst>
            <a:ext uri="{FF2B5EF4-FFF2-40B4-BE49-F238E27FC236}">
              <a16:creationId xmlns:a16="http://schemas.microsoft.com/office/drawing/2014/main" id="{DFAB0408-6049-C383-3866-315D9E2BE34A}"/>
            </a:ext>
          </a:extLst>
        </xdr:cNvPr>
        <xdr:cNvSpPr/>
      </xdr:nvSpPr>
      <xdr:spPr>
        <a:xfrm>
          <a:off x="6819900" y="1173480"/>
          <a:ext cx="868680" cy="236220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l"/>
          <a:fld id="{669E7EBA-64A7-4C27-87D3-7C0676F10689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t>₹ 7,82,994</a:t>
          </a:fld>
          <a:endParaRPr lang="en-IN" sz="1200" b="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12</xdr:col>
      <xdr:colOff>365760</xdr:colOff>
      <xdr:row>6</xdr:row>
      <xdr:rowOff>76200</xdr:rowOff>
    </xdr:from>
    <xdr:to>
      <xdr:col>13</xdr:col>
      <xdr:colOff>487680</xdr:colOff>
      <xdr:row>7</xdr:row>
      <xdr:rowOff>121920</xdr:rowOff>
    </xdr:to>
    <xdr:sp macro="" textlink="Pivots!C15">
      <xdr:nvSpPr>
        <xdr:cNvPr id="51" name="Rectangle 50">
          <a:extLst>
            <a:ext uri="{FF2B5EF4-FFF2-40B4-BE49-F238E27FC236}">
              <a16:creationId xmlns:a16="http://schemas.microsoft.com/office/drawing/2014/main" id="{F0C382A1-FF7B-3D54-8E7D-3065EB6049C9}"/>
            </a:ext>
          </a:extLst>
        </xdr:cNvPr>
        <xdr:cNvSpPr/>
      </xdr:nvSpPr>
      <xdr:spPr>
        <a:xfrm>
          <a:off x="8176260" y="1173480"/>
          <a:ext cx="876300" cy="228600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l"/>
          <a:fld id="{99B5FDCE-8917-42DC-8264-CFB975750B2E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t>₹ 16,98,335</a:t>
          </a:fld>
          <a:endParaRPr lang="en-IN" sz="1200" b="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14</xdr:col>
      <xdr:colOff>441960</xdr:colOff>
      <xdr:row>6</xdr:row>
      <xdr:rowOff>76200</xdr:rowOff>
    </xdr:from>
    <xdr:to>
      <xdr:col>15</xdr:col>
      <xdr:colOff>708660</xdr:colOff>
      <xdr:row>7</xdr:row>
      <xdr:rowOff>106680</xdr:rowOff>
    </xdr:to>
    <xdr:sp macro="" textlink="Pivots!C18">
      <xdr:nvSpPr>
        <xdr:cNvPr id="52" name="Rectangle 51">
          <a:extLst>
            <a:ext uri="{FF2B5EF4-FFF2-40B4-BE49-F238E27FC236}">
              <a16:creationId xmlns:a16="http://schemas.microsoft.com/office/drawing/2014/main" id="{16616564-1A33-547B-0DFC-64C61851C6A6}"/>
            </a:ext>
          </a:extLst>
        </xdr:cNvPr>
        <xdr:cNvSpPr/>
      </xdr:nvSpPr>
      <xdr:spPr>
        <a:xfrm>
          <a:off x="9555480" y="1173480"/>
          <a:ext cx="876300" cy="213360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l"/>
          <a:fld id="{727B3A44-420E-4E4B-9F08-B0AD3D9E91B7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t>₹ 1,35,499</a:t>
          </a:fld>
          <a:endParaRPr lang="en-IN" sz="1200" b="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83820</xdr:colOff>
      <xdr:row>9</xdr:row>
      <xdr:rowOff>144780</xdr:rowOff>
    </xdr:from>
    <xdr:to>
      <xdr:col>7</xdr:col>
      <xdr:colOff>45720</xdr:colOff>
      <xdr:row>16</xdr:row>
      <xdr:rowOff>15240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8069C3F6-698C-485D-BF75-B1CEEAD618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7</xdr:col>
      <xdr:colOff>167640</xdr:colOff>
      <xdr:row>9</xdr:row>
      <xdr:rowOff>141389</xdr:rowOff>
    </xdr:from>
    <xdr:to>
      <xdr:col>11</xdr:col>
      <xdr:colOff>220980</xdr:colOff>
      <xdr:row>16</xdr:row>
      <xdr:rowOff>7620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662F82EC-63C5-424A-B65B-73A38479B9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</xdr:col>
      <xdr:colOff>114300</xdr:colOff>
      <xdr:row>16</xdr:row>
      <xdr:rowOff>53340</xdr:rowOff>
    </xdr:from>
    <xdr:to>
      <xdr:col>11</xdr:col>
      <xdr:colOff>213360</xdr:colOff>
      <xdr:row>24</xdr:row>
      <xdr:rowOff>7620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A0E90E29-B869-4A0F-8EA8-1261AC95DB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1</xdr:row>
      <xdr:rowOff>45720</xdr:rowOff>
    </xdr:from>
    <xdr:to>
      <xdr:col>1</xdr:col>
      <xdr:colOff>1165860</xdr:colOff>
      <xdr:row>4</xdr:row>
      <xdr:rowOff>91440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256E638D-3C3B-4BDD-9907-EC5904405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91540" y="2286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30480</xdr:colOff>
      <xdr:row>4</xdr:row>
      <xdr:rowOff>91440</xdr:rowOff>
    </xdr:from>
    <xdr:to>
      <xdr:col>1</xdr:col>
      <xdr:colOff>1638300</xdr:colOff>
      <xdr:row>7</xdr:row>
      <xdr:rowOff>45720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1D5B664-9A3F-45A3-BE7F-43E590FFD9C1}"/>
            </a:ext>
          </a:extLst>
        </xdr:cNvPr>
        <xdr:cNvSpPr/>
      </xdr:nvSpPr>
      <xdr:spPr>
        <a:xfrm>
          <a:off x="350520" y="822960"/>
          <a:ext cx="1607820" cy="5029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tx1"/>
              </a:solidFill>
            </a:rPr>
            <a:t>Inventory</a:t>
          </a:r>
          <a:endParaRPr lang="en-IN" sz="1200" b="1" baseline="0">
            <a:solidFill>
              <a:schemeClr val="tx1"/>
            </a:solidFill>
          </a:endParaRPr>
        </a:p>
        <a:p>
          <a:pPr algn="ctr"/>
          <a:r>
            <a:rPr lang="en-IN" sz="1200" b="1" baseline="0">
              <a:solidFill>
                <a:schemeClr val="tx1"/>
              </a:solidFill>
            </a:rPr>
            <a:t>Management System</a:t>
          </a:r>
          <a:endParaRPr lang="en-IN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525780</xdr:colOff>
      <xdr:row>8</xdr:row>
      <xdr:rowOff>30480</xdr:rowOff>
    </xdr:from>
    <xdr:to>
      <xdr:col>1</xdr:col>
      <xdr:colOff>1455420</xdr:colOff>
      <xdr:row>9</xdr:row>
      <xdr:rowOff>129540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BFB7EAD-A47C-49C0-B7E5-7B2041277A56}"/>
            </a:ext>
          </a:extLst>
        </xdr:cNvPr>
        <xdr:cNvSpPr/>
      </xdr:nvSpPr>
      <xdr:spPr>
        <a:xfrm>
          <a:off x="845820" y="1493520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>
    <xdr:from>
      <xdr:col>1</xdr:col>
      <xdr:colOff>525780</xdr:colOff>
      <xdr:row>9</xdr:row>
      <xdr:rowOff>168593</xdr:rowOff>
    </xdr:from>
    <xdr:to>
      <xdr:col>1</xdr:col>
      <xdr:colOff>1455420</xdr:colOff>
      <xdr:row>11</xdr:row>
      <xdr:rowOff>84773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3AEC5EA-A7E1-4921-94A7-AA3AC2175AB0}"/>
            </a:ext>
          </a:extLst>
        </xdr:cNvPr>
        <xdr:cNvSpPr/>
      </xdr:nvSpPr>
      <xdr:spPr>
        <a:xfrm>
          <a:off x="845820" y="1814513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/>
              </a:solidFill>
            </a:rPr>
            <a:t>Customers</a:t>
          </a:r>
        </a:p>
      </xdr:txBody>
    </xdr:sp>
    <xdr:clientData/>
  </xdr:twoCellAnchor>
  <xdr:twoCellAnchor>
    <xdr:from>
      <xdr:col>1</xdr:col>
      <xdr:colOff>525780</xdr:colOff>
      <xdr:row>11</xdr:row>
      <xdr:rowOff>123826</xdr:rowOff>
    </xdr:from>
    <xdr:to>
      <xdr:col>1</xdr:col>
      <xdr:colOff>1455420</xdr:colOff>
      <xdr:row>13</xdr:row>
      <xdr:rowOff>40006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4D9A3FE-D75A-405A-9A76-CE13D1869824}"/>
            </a:ext>
          </a:extLst>
        </xdr:cNvPr>
        <xdr:cNvSpPr/>
      </xdr:nvSpPr>
      <xdr:spPr>
        <a:xfrm>
          <a:off x="845820" y="2135506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>
    <xdr:from>
      <xdr:col>1</xdr:col>
      <xdr:colOff>525780</xdr:colOff>
      <xdr:row>13</xdr:row>
      <xdr:rowOff>79059</xdr:rowOff>
    </xdr:from>
    <xdr:to>
      <xdr:col>1</xdr:col>
      <xdr:colOff>1455420</xdr:colOff>
      <xdr:row>14</xdr:row>
      <xdr:rowOff>178119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95DB1D5-343C-4997-BADD-3974FABA8653}"/>
            </a:ext>
          </a:extLst>
        </xdr:cNvPr>
        <xdr:cNvSpPr/>
      </xdr:nvSpPr>
      <xdr:spPr>
        <a:xfrm>
          <a:off x="845820" y="2456499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>
    <xdr:from>
      <xdr:col>1</xdr:col>
      <xdr:colOff>525780</xdr:colOff>
      <xdr:row>15</xdr:row>
      <xdr:rowOff>34292</xdr:rowOff>
    </xdr:from>
    <xdr:to>
      <xdr:col>1</xdr:col>
      <xdr:colOff>1455420</xdr:colOff>
      <xdr:row>16</xdr:row>
      <xdr:rowOff>133352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308825C-18E8-466D-9324-A8BFEE44BF21}"/>
            </a:ext>
          </a:extLst>
        </xdr:cNvPr>
        <xdr:cNvSpPr/>
      </xdr:nvSpPr>
      <xdr:spPr>
        <a:xfrm>
          <a:off x="845820" y="2777492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>
    <xdr:from>
      <xdr:col>1</xdr:col>
      <xdr:colOff>525780</xdr:colOff>
      <xdr:row>16</xdr:row>
      <xdr:rowOff>172405</xdr:rowOff>
    </xdr:from>
    <xdr:to>
      <xdr:col>1</xdr:col>
      <xdr:colOff>1455420</xdr:colOff>
      <xdr:row>18</xdr:row>
      <xdr:rowOff>88585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B079980-70F2-4C38-9BDC-C6DDAFEAC652}"/>
            </a:ext>
          </a:extLst>
        </xdr:cNvPr>
        <xdr:cNvSpPr/>
      </xdr:nvSpPr>
      <xdr:spPr>
        <a:xfrm>
          <a:off x="845820" y="3098485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Purcahse</a:t>
          </a:r>
        </a:p>
      </xdr:txBody>
    </xdr:sp>
    <xdr:clientData/>
  </xdr:twoCellAnchor>
  <xdr:twoCellAnchor>
    <xdr:from>
      <xdr:col>1</xdr:col>
      <xdr:colOff>525780</xdr:colOff>
      <xdr:row>18</xdr:row>
      <xdr:rowOff>127638</xdr:rowOff>
    </xdr:from>
    <xdr:to>
      <xdr:col>1</xdr:col>
      <xdr:colOff>1455420</xdr:colOff>
      <xdr:row>20</xdr:row>
      <xdr:rowOff>43818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17F89A1-1493-43D3-BE9D-BCCB96D6F86E}"/>
            </a:ext>
          </a:extLst>
        </xdr:cNvPr>
        <xdr:cNvSpPr/>
      </xdr:nvSpPr>
      <xdr:spPr>
        <a:xfrm>
          <a:off x="845820" y="3419478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>
    <xdr:from>
      <xdr:col>1</xdr:col>
      <xdr:colOff>525780</xdr:colOff>
      <xdr:row>20</xdr:row>
      <xdr:rowOff>82870</xdr:rowOff>
    </xdr:from>
    <xdr:to>
      <xdr:col>1</xdr:col>
      <xdr:colOff>1455420</xdr:colOff>
      <xdr:row>21</xdr:row>
      <xdr:rowOff>181930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504A021-9287-4367-AF9C-7343FE8CE448}"/>
            </a:ext>
          </a:extLst>
        </xdr:cNvPr>
        <xdr:cNvSpPr/>
      </xdr:nvSpPr>
      <xdr:spPr>
        <a:xfrm>
          <a:off x="845820" y="3740470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>
    <xdr:from>
      <xdr:col>1</xdr:col>
      <xdr:colOff>525780</xdr:colOff>
      <xdr:row>22</xdr:row>
      <xdr:rowOff>38100</xdr:rowOff>
    </xdr:from>
    <xdr:to>
      <xdr:col>1</xdr:col>
      <xdr:colOff>1455420</xdr:colOff>
      <xdr:row>23</xdr:row>
      <xdr:rowOff>137160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B7211E6-ACB4-459C-B851-D7A888856708}"/>
            </a:ext>
          </a:extLst>
        </xdr:cNvPr>
        <xdr:cNvSpPr/>
      </xdr:nvSpPr>
      <xdr:spPr>
        <a:xfrm>
          <a:off x="845820" y="4061460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N" sz="1200" b="1" baseline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152400</xdr:colOff>
      <xdr:row>8</xdr:row>
      <xdr:rowOff>22860</xdr:rowOff>
    </xdr:from>
    <xdr:to>
      <xdr:col>1</xdr:col>
      <xdr:colOff>457200</xdr:colOff>
      <xdr:row>9</xdr:row>
      <xdr:rowOff>129540</xdr:rowOff>
    </xdr:to>
    <xdr:pic>
      <xdr:nvPicPr>
        <xdr:cNvPr id="13" name="Graphic 12" descr="Clipboard Partially Crossed outline">
          <a:extLst>
            <a:ext uri="{FF2B5EF4-FFF2-40B4-BE49-F238E27FC236}">
              <a16:creationId xmlns:a16="http://schemas.microsoft.com/office/drawing/2014/main" id="{319B74C9-72F0-475E-98EC-733B6C18E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72440" y="1485900"/>
          <a:ext cx="304800" cy="289560"/>
        </a:xfrm>
        <a:prstGeom prst="rect">
          <a:avLst/>
        </a:prstGeom>
      </xdr:spPr>
    </xdr:pic>
    <xdr:clientData/>
  </xdr:twoCellAnchor>
  <xdr:twoCellAnchor editAs="oneCell">
    <xdr:from>
      <xdr:col>1</xdr:col>
      <xdr:colOff>144780</xdr:colOff>
      <xdr:row>9</xdr:row>
      <xdr:rowOff>152400</xdr:rowOff>
    </xdr:from>
    <xdr:to>
      <xdr:col>1</xdr:col>
      <xdr:colOff>502920</xdr:colOff>
      <xdr:row>11</xdr:row>
      <xdr:rowOff>91440</xdr:rowOff>
    </xdr:to>
    <xdr:pic>
      <xdr:nvPicPr>
        <xdr:cNvPr id="14" name="Graphic 13" descr="User outline">
          <a:extLst>
            <a:ext uri="{FF2B5EF4-FFF2-40B4-BE49-F238E27FC236}">
              <a16:creationId xmlns:a16="http://schemas.microsoft.com/office/drawing/2014/main" id="{A67A13F4-44BA-4F18-8F61-8BED6EB7E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64820" y="1798320"/>
          <a:ext cx="35814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11</xdr:row>
      <xdr:rowOff>114300</xdr:rowOff>
    </xdr:from>
    <xdr:to>
      <xdr:col>1</xdr:col>
      <xdr:colOff>495300</xdr:colOff>
      <xdr:row>13</xdr:row>
      <xdr:rowOff>76200</xdr:rowOff>
    </xdr:to>
    <xdr:pic>
      <xdr:nvPicPr>
        <xdr:cNvPr id="15" name="Graphic 14" descr="Continuous Improvement outline">
          <a:extLst>
            <a:ext uri="{FF2B5EF4-FFF2-40B4-BE49-F238E27FC236}">
              <a16:creationId xmlns:a16="http://schemas.microsoft.com/office/drawing/2014/main" id="{5B3E188E-8E78-42B8-B98E-EA488C820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72440" y="2125980"/>
          <a:ext cx="342900" cy="32766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18</xdr:row>
      <xdr:rowOff>121920</xdr:rowOff>
    </xdr:from>
    <xdr:to>
      <xdr:col>1</xdr:col>
      <xdr:colOff>449580</xdr:colOff>
      <xdr:row>20</xdr:row>
      <xdr:rowOff>7620</xdr:rowOff>
    </xdr:to>
    <xdr:pic>
      <xdr:nvPicPr>
        <xdr:cNvPr id="16" name="Graphic 15" descr="Kiosk outline">
          <a:extLst>
            <a:ext uri="{FF2B5EF4-FFF2-40B4-BE49-F238E27FC236}">
              <a16:creationId xmlns:a16="http://schemas.microsoft.com/office/drawing/2014/main" id="{160BB976-4D9D-4412-B9EF-33277FDF1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72440" y="3413760"/>
          <a:ext cx="297180" cy="25146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15</xdr:row>
      <xdr:rowOff>7620</xdr:rowOff>
    </xdr:from>
    <xdr:to>
      <xdr:col>1</xdr:col>
      <xdr:colOff>464820</xdr:colOff>
      <xdr:row>16</xdr:row>
      <xdr:rowOff>137160</xdr:rowOff>
    </xdr:to>
    <xdr:pic>
      <xdr:nvPicPr>
        <xdr:cNvPr id="17" name="Graphic 16" descr="Ticket outline">
          <a:extLst>
            <a:ext uri="{FF2B5EF4-FFF2-40B4-BE49-F238E27FC236}">
              <a16:creationId xmlns:a16="http://schemas.microsoft.com/office/drawing/2014/main" id="{D83C2C59-C065-4A33-8CCF-CB06A4379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72440" y="2750820"/>
          <a:ext cx="312420" cy="3124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16</xdr:row>
      <xdr:rowOff>121920</xdr:rowOff>
    </xdr:from>
    <xdr:to>
      <xdr:col>1</xdr:col>
      <xdr:colOff>525780</xdr:colOff>
      <xdr:row>18</xdr:row>
      <xdr:rowOff>76200</xdr:rowOff>
    </xdr:to>
    <xdr:pic>
      <xdr:nvPicPr>
        <xdr:cNvPr id="18" name="Graphic 17" descr="Shopping bag outline">
          <a:extLst>
            <a:ext uri="{FF2B5EF4-FFF2-40B4-BE49-F238E27FC236}">
              <a16:creationId xmlns:a16="http://schemas.microsoft.com/office/drawing/2014/main" id="{89E64102-6387-460D-8E0A-82CD8C7BD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72440" y="3048000"/>
          <a:ext cx="373380" cy="32004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13</xdr:row>
      <xdr:rowOff>91440</xdr:rowOff>
    </xdr:from>
    <xdr:to>
      <xdr:col>1</xdr:col>
      <xdr:colOff>495300</xdr:colOff>
      <xdr:row>15</xdr:row>
      <xdr:rowOff>0</xdr:rowOff>
    </xdr:to>
    <xdr:pic>
      <xdr:nvPicPr>
        <xdr:cNvPr id="19" name="Graphic 18" descr="For Sale outline">
          <a:extLst>
            <a:ext uri="{FF2B5EF4-FFF2-40B4-BE49-F238E27FC236}">
              <a16:creationId xmlns:a16="http://schemas.microsoft.com/office/drawing/2014/main" id="{009C97FA-FAD1-4035-8448-48A7D6603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72440" y="2468880"/>
          <a:ext cx="34290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20</xdr:row>
      <xdr:rowOff>60960</xdr:rowOff>
    </xdr:from>
    <xdr:to>
      <xdr:col>1</xdr:col>
      <xdr:colOff>480060</xdr:colOff>
      <xdr:row>21</xdr:row>
      <xdr:rowOff>152400</xdr:rowOff>
    </xdr:to>
    <xdr:pic>
      <xdr:nvPicPr>
        <xdr:cNvPr id="20" name="Graphic 19" descr="Inventory outline">
          <a:extLst>
            <a:ext uri="{FF2B5EF4-FFF2-40B4-BE49-F238E27FC236}">
              <a16:creationId xmlns:a16="http://schemas.microsoft.com/office/drawing/2014/main" id="{EBB7D93F-09A0-40CB-AC59-A99D5368C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72440" y="3718560"/>
          <a:ext cx="327660" cy="27432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7620</xdr:rowOff>
    </xdr:from>
    <xdr:to>
      <xdr:col>15</xdr:col>
      <xdr:colOff>304800</xdr:colOff>
      <xdr:row>3</xdr:row>
      <xdr:rowOff>137160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1A6833E-6C40-4215-85C9-41513B1FCFC4}"/>
            </a:ext>
          </a:extLst>
        </xdr:cNvPr>
        <xdr:cNvSpPr/>
      </xdr:nvSpPr>
      <xdr:spPr>
        <a:xfrm>
          <a:off x="2331720" y="190500"/>
          <a:ext cx="7901940" cy="4953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3200" b="1">
              <a:solidFill>
                <a:schemeClr val="tx1"/>
              </a:solidFill>
            </a:rPr>
            <a:t>   Customers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1</xdr:row>
      <xdr:rowOff>45720</xdr:rowOff>
    </xdr:from>
    <xdr:to>
      <xdr:col>1</xdr:col>
      <xdr:colOff>1165860</xdr:colOff>
      <xdr:row>4</xdr:row>
      <xdr:rowOff>91440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7F1833F2-C9BB-4132-BB0F-F9F841958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91540" y="2286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30480</xdr:colOff>
      <xdr:row>4</xdr:row>
      <xdr:rowOff>91440</xdr:rowOff>
    </xdr:from>
    <xdr:to>
      <xdr:col>1</xdr:col>
      <xdr:colOff>1638300</xdr:colOff>
      <xdr:row>7</xdr:row>
      <xdr:rowOff>45720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31DFF95-3BBA-416F-8D2E-94BF1F93D1A5}"/>
            </a:ext>
          </a:extLst>
        </xdr:cNvPr>
        <xdr:cNvSpPr/>
      </xdr:nvSpPr>
      <xdr:spPr>
        <a:xfrm>
          <a:off x="350520" y="822960"/>
          <a:ext cx="1607820" cy="5029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tx1"/>
              </a:solidFill>
            </a:rPr>
            <a:t>Inventory</a:t>
          </a:r>
          <a:endParaRPr lang="en-IN" sz="1200" b="1" baseline="0">
            <a:solidFill>
              <a:schemeClr val="tx1"/>
            </a:solidFill>
          </a:endParaRPr>
        </a:p>
        <a:p>
          <a:pPr algn="ctr"/>
          <a:r>
            <a:rPr lang="en-IN" sz="1200" b="1" baseline="0">
              <a:solidFill>
                <a:schemeClr val="tx1"/>
              </a:solidFill>
            </a:rPr>
            <a:t>Management System</a:t>
          </a:r>
          <a:endParaRPr lang="en-IN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525780</xdr:colOff>
      <xdr:row>8</xdr:row>
      <xdr:rowOff>30480</xdr:rowOff>
    </xdr:from>
    <xdr:to>
      <xdr:col>1</xdr:col>
      <xdr:colOff>1455420</xdr:colOff>
      <xdr:row>9</xdr:row>
      <xdr:rowOff>129540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49439E6-349F-436B-B805-4175D6551952}"/>
            </a:ext>
          </a:extLst>
        </xdr:cNvPr>
        <xdr:cNvSpPr/>
      </xdr:nvSpPr>
      <xdr:spPr>
        <a:xfrm>
          <a:off x="845820" y="1493520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>
    <xdr:from>
      <xdr:col>1</xdr:col>
      <xdr:colOff>525780</xdr:colOff>
      <xdr:row>9</xdr:row>
      <xdr:rowOff>168593</xdr:rowOff>
    </xdr:from>
    <xdr:to>
      <xdr:col>1</xdr:col>
      <xdr:colOff>1455420</xdr:colOff>
      <xdr:row>11</xdr:row>
      <xdr:rowOff>84773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4849EBC-C91B-439B-8744-CB261CC431A8}"/>
            </a:ext>
          </a:extLst>
        </xdr:cNvPr>
        <xdr:cNvSpPr/>
      </xdr:nvSpPr>
      <xdr:spPr>
        <a:xfrm>
          <a:off x="845820" y="1814513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>
    <xdr:from>
      <xdr:col>1</xdr:col>
      <xdr:colOff>525780</xdr:colOff>
      <xdr:row>11</xdr:row>
      <xdr:rowOff>123826</xdr:rowOff>
    </xdr:from>
    <xdr:to>
      <xdr:col>1</xdr:col>
      <xdr:colOff>1455420</xdr:colOff>
      <xdr:row>13</xdr:row>
      <xdr:rowOff>40006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45A8CE5-DB2F-491E-884A-963B2E80B5D9}"/>
            </a:ext>
          </a:extLst>
        </xdr:cNvPr>
        <xdr:cNvSpPr/>
      </xdr:nvSpPr>
      <xdr:spPr>
        <a:xfrm>
          <a:off x="845820" y="2135506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/>
              </a:solidFill>
            </a:rPr>
            <a:t>Products</a:t>
          </a:r>
        </a:p>
      </xdr:txBody>
    </xdr:sp>
    <xdr:clientData/>
  </xdr:twoCellAnchor>
  <xdr:twoCellAnchor>
    <xdr:from>
      <xdr:col>1</xdr:col>
      <xdr:colOff>525780</xdr:colOff>
      <xdr:row>13</xdr:row>
      <xdr:rowOff>79059</xdr:rowOff>
    </xdr:from>
    <xdr:to>
      <xdr:col>1</xdr:col>
      <xdr:colOff>1455420</xdr:colOff>
      <xdr:row>14</xdr:row>
      <xdr:rowOff>178119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04360D9-4090-4F8F-ADC9-8FCF6D7FE794}"/>
            </a:ext>
          </a:extLst>
        </xdr:cNvPr>
        <xdr:cNvSpPr/>
      </xdr:nvSpPr>
      <xdr:spPr>
        <a:xfrm>
          <a:off x="845820" y="2456499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>
    <xdr:from>
      <xdr:col>1</xdr:col>
      <xdr:colOff>525780</xdr:colOff>
      <xdr:row>15</xdr:row>
      <xdr:rowOff>34292</xdr:rowOff>
    </xdr:from>
    <xdr:to>
      <xdr:col>1</xdr:col>
      <xdr:colOff>1455420</xdr:colOff>
      <xdr:row>16</xdr:row>
      <xdr:rowOff>133352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BAC5947-5E17-4486-A181-5EC107A88626}"/>
            </a:ext>
          </a:extLst>
        </xdr:cNvPr>
        <xdr:cNvSpPr/>
      </xdr:nvSpPr>
      <xdr:spPr>
        <a:xfrm>
          <a:off x="845820" y="2777492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>
    <xdr:from>
      <xdr:col>1</xdr:col>
      <xdr:colOff>525780</xdr:colOff>
      <xdr:row>16</xdr:row>
      <xdr:rowOff>172405</xdr:rowOff>
    </xdr:from>
    <xdr:to>
      <xdr:col>1</xdr:col>
      <xdr:colOff>1455420</xdr:colOff>
      <xdr:row>18</xdr:row>
      <xdr:rowOff>88585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3A0D9BA-4F14-4FB1-AEDF-7159BE6C0659}"/>
            </a:ext>
          </a:extLst>
        </xdr:cNvPr>
        <xdr:cNvSpPr/>
      </xdr:nvSpPr>
      <xdr:spPr>
        <a:xfrm>
          <a:off x="845820" y="3098485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Purcahse</a:t>
          </a:r>
        </a:p>
      </xdr:txBody>
    </xdr:sp>
    <xdr:clientData/>
  </xdr:twoCellAnchor>
  <xdr:twoCellAnchor>
    <xdr:from>
      <xdr:col>1</xdr:col>
      <xdr:colOff>525780</xdr:colOff>
      <xdr:row>18</xdr:row>
      <xdr:rowOff>127638</xdr:rowOff>
    </xdr:from>
    <xdr:to>
      <xdr:col>1</xdr:col>
      <xdr:colOff>1455420</xdr:colOff>
      <xdr:row>20</xdr:row>
      <xdr:rowOff>43818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4E8CBF9-C172-4CF6-BA47-8EF12EA117C8}"/>
            </a:ext>
          </a:extLst>
        </xdr:cNvPr>
        <xdr:cNvSpPr/>
      </xdr:nvSpPr>
      <xdr:spPr>
        <a:xfrm>
          <a:off x="845820" y="3419478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>
    <xdr:from>
      <xdr:col>1</xdr:col>
      <xdr:colOff>525780</xdr:colOff>
      <xdr:row>20</xdr:row>
      <xdr:rowOff>82870</xdr:rowOff>
    </xdr:from>
    <xdr:to>
      <xdr:col>1</xdr:col>
      <xdr:colOff>1455420</xdr:colOff>
      <xdr:row>21</xdr:row>
      <xdr:rowOff>181930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AC9F99C-8119-425D-BA8D-26B9DD2CDE6E}"/>
            </a:ext>
          </a:extLst>
        </xdr:cNvPr>
        <xdr:cNvSpPr/>
      </xdr:nvSpPr>
      <xdr:spPr>
        <a:xfrm>
          <a:off x="845820" y="3740470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>
    <xdr:from>
      <xdr:col>1</xdr:col>
      <xdr:colOff>525780</xdr:colOff>
      <xdr:row>22</xdr:row>
      <xdr:rowOff>38100</xdr:rowOff>
    </xdr:from>
    <xdr:to>
      <xdr:col>1</xdr:col>
      <xdr:colOff>1455420</xdr:colOff>
      <xdr:row>23</xdr:row>
      <xdr:rowOff>137160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0D12EF6-6C2C-413E-9964-69F2206B470B}"/>
            </a:ext>
          </a:extLst>
        </xdr:cNvPr>
        <xdr:cNvSpPr/>
      </xdr:nvSpPr>
      <xdr:spPr>
        <a:xfrm>
          <a:off x="845820" y="4061460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N" sz="1200" b="1" baseline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152400</xdr:colOff>
      <xdr:row>8</xdr:row>
      <xdr:rowOff>22860</xdr:rowOff>
    </xdr:from>
    <xdr:to>
      <xdr:col>1</xdr:col>
      <xdr:colOff>457200</xdr:colOff>
      <xdr:row>9</xdr:row>
      <xdr:rowOff>129540</xdr:rowOff>
    </xdr:to>
    <xdr:pic>
      <xdr:nvPicPr>
        <xdr:cNvPr id="13" name="Graphic 12" descr="Clipboard Partially Crossed outline">
          <a:extLst>
            <a:ext uri="{FF2B5EF4-FFF2-40B4-BE49-F238E27FC236}">
              <a16:creationId xmlns:a16="http://schemas.microsoft.com/office/drawing/2014/main" id="{EC917286-1A9E-4BFA-8BE5-27D1BB664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72440" y="1485900"/>
          <a:ext cx="304800" cy="289560"/>
        </a:xfrm>
        <a:prstGeom prst="rect">
          <a:avLst/>
        </a:prstGeom>
      </xdr:spPr>
    </xdr:pic>
    <xdr:clientData/>
  </xdr:twoCellAnchor>
  <xdr:twoCellAnchor editAs="oneCell">
    <xdr:from>
      <xdr:col>1</xdr:col>
      <xdr:colOff>144780</xdr:colOff>
      <xdr:row>9</xdr:row>
      <xdr:rowOff>152400</xdr:rowOff>
    </xdr:from>
    <xdr:to>
      <xdr:col>1</xdr:col>
      <xdr:colOff>502920</xdr:colOff>
      <xdr:row>11</xdr:row>
      <xdr:rowOff>91440</xdr:rowOff>
    </xdr:to>
    <xdr:pic>
      <xdr:nvPicPr>
        <xdr:cNvPr id="14" name="Graphic 13" descr="User outline">
          <a:extLst>
            <a:ext uri="{FF2B5EF4-FFF2-40B4-BE49-F238E27FC236}">
              <a16:creationId xmlns:a16="http://schemas.microsoft.com/office/drawing/2014/main" id="{6134988B-FA83-472B-B248-59DEDFD6C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64820" y="1798320"/>
          <a:ext cx="35814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11</xdr:row>
      <xdr:rowOff>114300</xdr:rowOff>
    </xdr:from>
    <xdr:to>
      <xdr:col>1</xdr:col>
      <xdr:colOff>495300</xdr:colOff>
      <xdr:row>13</xdr:row>
      <xdr:rowOff>76200</xdr:rowOff>
    </xdr:to>
    <xdr:pic>
      <xdr:nvPicPr>
        <xdr:cNvPr id="15" name="Graphic 14" descr="Continuous Improvement outline">
          <a:extLst>
            <a:ext uri="{FF2B5EF4-FFF2-40B4-BE49-F238E27FC236}">
              <a16:creationId xmlns:a16="http://schemas.microsoft.com/office/drawing/2014/main" id="{A574EAE2-DA29-4713-92E4-BE999E75B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72440" y="2125980"/>
          <a:ext cx="342900" cy="32766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18</xdr:row>
      <xdr:rowOff>121920</xdr:rowOff>
    </xdr:from>
    <xdr:to>
      <xdr:col>1</xdr:col>
      <xdr:colOff>449580</xdr:colOff>
      <xdr:row>20</xdr:row>
      <xdr:rowOff>7620</xdr:rowOff>
    </xdr:to>
    <xdr:pic>
      <xdr:nvPicPr>
        <xdr:cNvPr id="16" name="Graphic 15" descr="Kiosk outline">
          <a:extLst>
            <a:ext uri="{FF2B5EF4-FFF2-40B4-BE49-F238E27FC236}">
              <a16:creationId xmlns:a16="http://schemas.microsoft.com/office/drawing/2014/main" id="{9B559741-7338-4D19-9BDB-64FD42A67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72440" y="3413760"/>
          <a:ext cx="297180" cy="25146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15</xdr:row>
      <xdr:rowOff>7620</xdr:rowOff>
    </xdr:from>
    <xdr:to>
      <xdr:col>1</xdr:col>
      <xdr:colOff>464820</xdr:colOff>
      <xdr:row>16</xdr:row>
      <xdr:rowOff>137160</xdr:rowOff>
    </xdr:to>
    <xdr:pic>
      <xdr:nvPicPr>
        <xdr:cNvPr id="17" name="Graphic 16" descr="Ticket outline">
          <a:extLst>
            <a:ext uri="{FF2B5EF4-FFF2-40B4-BE49-F238E27FC236}">
              <a16:creationId xmlns:a16="http://schemas.microsoft.com/office/drawing/2014/main" id="{0FC512DD-EBE8-42A7-AAF1-30249E50A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72440" y="2750820"/>
          <a:ext cx="312420" cy="3124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16</xdr:row>
      <xdr:rowOff>121920</xdr:rowOff>
    </xdr:from>
    <xdr:to>
      <xdr:col>1</xdr:col>
      <xdr:colOff>525780</xdr:colOff>
      <xdr:row>18</xdr:row>
      <xdr:rowOff>76200</xdr:rowOff>
    </xdr:to>
    <xdr:pic>
      <xdr:nvPicPr>
        <xdr:cNvPr id="18" name="Graphic 17" descr="Shopping bag outline">
          <a:extLst>
            <a:ext uri="{FF2B5EF4-FFF2-40B4-BE49-F238E27FC236}">
              <a16:creationId xmlns:a16="http://schemas.microsoft.com/office/drawing/2014/main" id="{4CCD832B-1FB4-4F35-848F-6E32D57B6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72440" y="3048000"/>
          <a:ext cx="373380" cy="32004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13</xdr:row>
      <xdr:rowOff>91440</xdr:rowOff>
    </xdr:from>
    <xdr:to>
      <xdr:col>1</xdr:col>
      <xdr:colOff>495300</xdr:colOff>
      <xdr:row>15</xdr:row>
      <xdr:rowOff>0</xdr:rowOff>
    </xdr:to>
    <xdr:pic>
      <xdr:nvPicPr>
        <xdr:cNvPr id="19" name="Graphic 18" descr="For Sale outline">
          <a:extLst>
            <a:ext uri="{FF2B5EF4-FFF2-40B4-BE49-F238E27FC236}">
              <a16:creationId xmlns:a16="http://schemas.microsoft.com/office/drawing/2014/main" id="{58CDD5B3-7642-4892-AABB-E5D49DE8F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72440" y="2468880"/>
          <a:ext cx="34290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20</xdr:row>
      <xdr:rowOff>60960</xdr:rowOff>
    </xdr:from>
    <xdr:to>
      <xdr:col>1</xdr:col>
      <xdr:colOff>480060</xdr:colOff>
      <xdr:row>21</xdr:row>
      <xdr:rowOff>152400</xdr:rowOff>
    </xdr:to>
    <xdr:pic>
      <xdr:nvPicPr>
        <xdr:cNvPr id="20" name="Graphic 19" descr="Inventory outline">
          <a:extLst>
            <a:ext uri="{FF2B5EF4-FFF2-40B4-BE49-F238E27FC236}">
              <a16:creationId xmlns:a16="http://schemas.microsoft.com/office/drawing/2014/main" id="{4A5184BA-1117-4737-B75C-536AAF38E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72440" y="3718560"/>
          <a:ext cx="327660" cy="274320"/>
        </a:xfrm>
        <a:prstGeom prst="rect">
          <a:avLst/>
        </a:prstGeom>
      </xdr:spPr>
    </xdr:pic>
    <xdr:clientData/>
  </xdr:twoCellAnchor>
  <xdr:twoCellAnchor editAs="absolute">
    <xdr:from>
      <xdr:col>3</xdr:col>
      <xdr:colOff>15240</xdr:colOff>
      <xdr:row>1</xdr:row>
      <xdr:rowOff>0</xdr:rowOff>
    </xdr:from>
    <xdr:to>
      <xdr:col>14</xdr:col>
      <xdr:colOff>114300</xdr:colOff>
      <xdr:row>3</xdr:row>
      <xdr:rowOff>129540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4130BF3-1084-45A3-B96B-CC13CCD9B476}"/>
            </a:ext>
          </a:extLst>
        </xdr:cNvPr>
        <xdr:cNvSpPr/>
      </xdr:nvSpPr>
      <xdr:spPr>
        <a:xfrm>
          <a:off x="2278380" y="182880"/>
          <a:ext cx="7901940" cy="4953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3200" b="1">
              <a:solidFill>
                <a:schemeClr val="tx1"/>
              </a:solidFill>
            </a:rPr>
            <a:t>   Products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1</xdr:row>
      <xdr:rowOff>45720</xdr:rowOff>
    </xdr:from>
    <xdr:to>
      <xdr:col>1</xdr:col>
      <xdr:colOff>1165860</xdr:colOff>
      <xdr:row>4</xdr:row>
      <xdr:rowOff>91440</xdr:rowOff>
    </xdr:to>
    <xdr:pic>
      <xdr:nvPicPr>
        <xdr:cNvPr id="22" name="Graphic 21" descr="Search Inventory with solid fill">
          <a:extLst>
            <a:ext uri="{FF2B5EF4-FFF2-40B4-BE49-F238E27FC236}">
              <a16:creationId xmlns:a16="http://schemas.microsoft.com/office/drawing/2014/main" id="{B2500BF8-CB16-4458-986E-E97C1191C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91540" y="2286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30480</xdr:colOff>
      <xdr:row>4</xdr:row>
      <xdr:rowOff>91440</xdr:rowOff>
    </xdr:from>
    <xdr:to>
      <xdr:col>1</xdr:col>
      <xdr:colOff>1638300</xdr:colOff>
      <xdr:row>7</xdr:row>
      <xdr:rowOff>45720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B8D5D1D-2F35-4E61-AEA1-0F3E726D01F9}"/>
            </a:ext>
          </a:extLst>
        </xdr:cNvPr>
        <xdr:cNvSpPr/>
      </xdr:nvSpPr>
      <xdr:spPr>
        <a:xfrm>
          <a:off x="350520" y="822960"/>
          <a:ext cx="1607820" cy="5029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tx1"/>
              </a:solidFill>
            </a:rPr>
            <a:t>Inventory</a:t>
          </a:r>
          <a:endParaRPr lang="en-IN" sz="1200" b="1" baseline="0">
            <a:solidFill>
              <a:schemeClr val="tx1"/>
            </a:solidFill>
          </a:endParaRPr>
        </a:p>
        <a:p>
          <a:pPr algn="ctr"/>
          <a:r>
            <a:rPr lang="en-IN" sz="1200" b="1" baseline="0">
              <a:solidFill>
                <a:schemeClr val="tx1"/>
              </a:solidFill>
            </a:rPr>
            <a:t>Management System</a:t>
          </a:r>
          <a:endParaRPr lang="en-IN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525780</xdr:colOff>
      <xdr:row>8</xdr:row>
      <xdr:rowOff>30480</xdr:rowOff>
    </xdr:from>
    <xdr:to>
      <xdr:col>1</xdr:col>
      <xdr:colOff>1455420</xdr:colOff>
      <xdr:row>9</xdr:row>
      <xdr:rowOff>129540</xdr:rowOff>
    </xdr:to>
    <xdr:sp macro="" textlink="">
      <xdr:nvSpPr>
        <xdr:cNvPr id="24" name="Rectangle 2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189FA43-22C6-44E4-BB0E-2A5EFBA27FFF}"/>
            </a:ext>
          </a:extLst>
        </xdr:cNvPr>
        <xdr:cNvSpPr/>
      </xdr:nvSpPr>
      <xdr:spPr>
        <a:xfrm>
          <a:off x="845820" y="1493520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>
    <xdr:from>
      <xdr:col>1</xdr:col>
      <xdr:colOff>525780</xdr:colOff>
      <xdr:row>9</xdr:row>
      <xdr:rowOff>168593</xdr:rowOff>
    </xdr:from>
    <xdr:to>
      <xdr:col>1</xdr:col>
      <xdr:colOff>1455420</xdr:colOff>
      <xdr:row>11</xdr:row>
      <xdr:rowOff>84773</xdr:rowOff>
    </xdr:to>
    <xdr:sp macro="" textlink="">
      <xdr:nvSpPr>
        <xdr:cNvPr id="25" name="Rectangle 2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FD2978-78B8-4FDA-AB70-27D943631ACD}"/>
            </a:ext>
          </a:extLst>
        </xdr:cNvPr>
        <xdr:cNvSpPr/>
      </xdr:nvSpPr>
      <xdr:spPr>
        <a:xfrm>
          <a:off x="845820" y="1814513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>
    <xdr:from>
      <xdr:col>1</xdr:col>
      <xdr:colOff>525780</xdr:colOff>
      <xdr:row>11</xdr:row>
      <xdr:rowOff>123826</xdr:rowOff>
    </xdr:from>
    <xdr:to>
      <xdr:col>1</xdr:col>
      <xdr:colOff>1455420</xdr:colOff>
      <xdr:row>13</xdr:row>
      <xdr:rowOff>40006</xdr:rowOff>
    </xdr:to>
    <xdr:sp macro="" textlink="">
      <xdr:nvSpPr>
        <xdr:cNvPr id="26" name="Rectangle 2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5C406E0-D4E1-494A-9E5D-6D0E0E33E1EF}"/>
            </a:ext>
          </a:extLst>
        </xdr:cNvPr>
        <xdr:cNvSpPr/>
      </xdr:nvSpPr>
      <xdr:spPr>
        <a:xfrm>
          <a:off x="845820" y="2135506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>
    <xdr:from>
      <xdr:col>1</xdr:col>
      <xdr:colOff>525780</xdr:colOff>
      <xdr:row>13</xdr:row>
      <xdr:rowOff>79059</xdr:rowOff>
    </xdr:from>
    <xdr:to>
      <xdr:col>1</xdr:col>
      <xdr:colOff>1455420</xdr:colOff>
      <xdr:row>14</xdr:row>
      <xdr:rowOff>178119</xdr:rowOff>
    </xdr:to>
    <xdr:sp macro="" textlink="">
      <xdr:nvSpPr>
        <xdr:cNvPr id="27" name="Rectangle 2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49FC6BB-9154-4573-BA8F-F9CE8956E19B}"/>
            </a:ext>
          </a:extLst>
        </xdr:cNvPr>
        <xdr:cNvSpPr/>
      </xdr:nvSpPr>
      <xdr:spPr>
        <a:xfrm>
          <a:off x="845820" y="2456499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/>
              </a:solidFill>
            </a:rPr>
            <a:t>Vendors</a:t>
          </a:r>
        </a:p>
      </xdr:txBody>
    </xdr:sp>
    <xdr:clientData/>
  </xdr:twoCellAnchor>
  <xdr:twoCellAnchor>
    <xdr:from>
      <xdr:col>1</xdr:col>
      <xdr:colOff>525780</xdr:colOff>
      <xdr:row>15</xdr:row>
      <xdr:rowOff>34292</xdr:rowOff>
    </xdr:from>
    <xdr:to>
      <xdr:col>1</xdr:col>
      <xdr:colOff>1455420</xdr:colOff>
      <xdr:row>16</xdr:row>
      <xdr:rowOff>133352</xdr:rowOff>
    </xdr:to>
    <xdr:sp macro="" textlink="">
      <xdr:nvSpPr>
        <xdr:cNvPr id="28" name="Rectangle 2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4B7A102-6912-4256-993F-40524ED0C088}"/>
            </a:ext>
          </a:extLst>
        </xdr:cNvPr>
        <xdr:cNvSpPr/>
      </xdr:nvSpPr>
      <xdr:spPr>
        <a:xfrm>
          <a:off x="845820" y="2777492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>
    <xdr:from>
      <xdr:col>1</xdr:col>
      <xdr:colOff>525780</xdr:colOff>
      <xdr:row>16</xdr:row>
      <xdr:rowOff>172405</xdr:rowOff>
    </xdr:from>
    <xdr:to>
      <xdr:col>1</xdr:col>
      <xdr:colOff>1455420</xdr:colOff>
      <xdr:row>18</xdr:row>
      <xdr:rowOff>88585</xdr:rowOff>
    </xdr:to>
    <xdr:sp macro="" textlink="">
      <xdr:nvSpPr>
        <xdr:cNvPr id="29" name="Rectangle 2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CA8A924-DC43-490E-815B-8C75CFC5C421}"/>
            </a:ext>
          </a:extLst>
        </xdr:cNvPr>
        <xdr:cNvSpPr/>
      </xdr:nvSpPr>
      <xdr:spPr>
        <a:xfrm>
          <a:off x="845820" y="3098485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Purcahse</a:t>
          </a:r>
        </a:p>
      </xdr:txBody>
    </xdr:sp>
    <xdr:clientData/>
  </xdr:twoCellAnchor>
  <xdr:twoCellAnchor>
    <xdr:from>
      <xdr:col>1</xdr:col>
      <xdr:colOff>525780</xdr:colOff>
      <xdr:row>18</xdr:row>
      <xdr:rowOff>127638</xdr:rowOff>
    </xdr:from>
    <xdr:to>
      <xdr:col>1</xdr:col>
      <xdr:colOff>1455420</xdr:colOff>
      <xdr:row>20</xdr:row>
      <xdr:rowOff>43818</xdr:rowOff>
    </xdr:to>
    <xdr:sp macro="" textlink="">
      <xdr:nvSpPr>
        <xdr:cNvPr id="30" name="Rectangle 2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E42D4A5-85DD-4238-A0AD-C349E4EB5C1B}"/>
            </a:ext>
          </a:extLst>
        </xdr:cNvPr>
        <xdr:cNvSpPr/>
      </xdr:nvSpPr>
      <xdr:spPr>
        <a:xfrm>
          <a:off x="845820" y="3419478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>
    <xdr:from>
      <xdr:col>1</xdr:col>
      <xdr:colOff>525780</xdr:colOff>
      <xdr:row>20</xdr:row>
      <xdr:rowOff>82870</xdr:rowOff>
    </xdr:from>
    <xdr:to>
      <xdr:col>1</xdr:col>
      <xdr:colOff>1455420</xdr:colOff>
      <xdr:row>21</xdr:row>
      <xdr:rowOff>181930</xdr:rowOff>
    </xdr:to>
    <xdr:sp macro="" textlink="">
      <xdr:nvSpPr>
        <xdr:cNvPr id="31" name="Rectangle 3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C1C592B-C72F-42DC-A997-B93BD7D4B34F}"/>
            </a:ext>
          </a:extLst>
        </xdr:cNvPr>
        <xdr:cNvSpPr/>
      </xdr:nvSpPr>
      <xdr:spPr>
        <a:xfrm>
          <a:off x="845820" y="3740470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>
    <xdr:from>
      <xdr:col>1</xdr:col>
      <xdr:colOff>525780</xdr:colOff>
      <xdr:row>22</xdr:row>
      <xdr:rowOff>38100</xdr:rowOff>
    </xdr:from>
    <xdr:to>
      <xdr:col>1</xdr:col>
      <xdr:colOff>1455420</xdr:colOff>
      <xdr:row>23</xdr:row>
      <xdr:rowOff>137160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A1BA9107-5A26-44F8-BA5D-6F4B602EF568}"/>
            </a:ext>
          </a:extLst>
        </xdr:cNvPr>
        <xdr:cNvSpPr/>
      </xdr:nvSpPr>
      <xdr:spPr>
        <a:xfrm>
          <a:off x="845820" y="4061460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N" sz="1200" b="1" baseline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152400</xdr:colOff>
      <xdr:row>8</xdr:row>
      <xdr:rowOff>22860</xdr:rowOff>
    </xdr:from>
    <xdr:to>
      <xdr:col>1</xdr:col>
      <xdr:colOff>457200</xdr:colOff>
      <xdr:row>9</xdr:row>
      <xdr:rowOff>129540</xdr:rowOff>
    </xdr:to>
    <xdr:pic>
      <xdr:nvPicPr>
        <xdr:cNvPr id="33" name="Graphic 32" descr="Clipboard Partially Crossed outline">
          <a:extLst>
            <a:ext uri="{FF2B5EF4-FFF2-40B4-BE49-F238E27FC236}">
              <a16:creationId xmlns:a16="http://schemas.microsoft.com/office/drawing/2014/main" id="{19E5FD9F-8490-4517-B7FD-2156A5504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72440" y="1485900"/>
          <a:ext cx="304800" cy="289560"/>
        </a:xfrm>
        <a:prstGeom prst="rect">
          <a:avLst/>
        </a:prstGeom>
      </xdr:spPr>
    </xdr:pic>
    <xdr:clientData/>
  </xdr:twoCellAnchor>
  <xdr:twoCellAnchor editAs="oneCell">
    <xdr:from>
      <xdr:col>1</xdr:col>
      <xdr:colOff>144780</xdr:colOff>
      <xdr:row>9</xdr:row>
      <xdr:rowOff>152400</xdr:rowOff>
    </xdr:from>
    <xdr:to>
      <xdr:col>1</xdr:col>
      <xdr:colOff>502920</xdr:colOff>
      <xdr:row>11</xdr:row>
      <xdr:rowOff>91440</xdr:rowOff>
    </xdr:to>
    <xdr:pic>
      <xdr:nvPicPr>
        <xdr:cNvPr id="34" name="Graphic 33" descr="User outline">
          <a:extLst>
            <a:ext uri="{FF2B5EF4-FFF2-40B4-BE49-F238E27FC236}">
              <a16:creationId xmlns:a16="http://schemas.microsoft.com/office/drawing/2014/main" id="{B90649C4-348D-4032-B7C7-62A86D7AC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64820" y="1798320"/>
          <a:ext cx="35814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11</xdr:row>
      <xdr:rowOff>114300</xdr:rowOff>
    </xdr:from>
    <xdr:to>
      <xdr:col>1</xdr:col>
      <xdr:colOff>495300</xdr:colOff>
      <xdr:row>13</xdr:row>
      <xdr:rowOff>76200</xdr:rowOff>
    </xdr:to>
    <xdr:pic>
      <xdr:nvPicPr>
        <xdr:cNvPr id="35" name="Graphic 34" descr="Continuous Improvement outline">
          <a:extLst>
            <a:ext uri="{FF2B5EF4-FFF2-40B4-BE49-F238E27FC236}">
              <a16:creationId xmlns:a16="http://schemas.microsoft.com/office/drawing/2014/main" id="{131BDE0B-6657-43F3-8125-19C922FE3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72440" y="2125980"/>
          <a:ext cx="342900" cy="32766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18</xdr:row>
      <xdr:rowOff>121920</xdr:rowOff>
    </xdr:from>
    <xdr:to>
      <xdr:col>1</xdr:col>
      <xdr:colOff>449580</xdr:colOff>
      <xdr:row>20</xdr:row>
      <xdr:rowOff>7620</xdr:rowOff>
    </xdr:to>
    <xdr:pic>
      <xdr:nvPicPr>
        <xdr:cNvPr id="36" name="Graphic 35" descr="Kiosk outline">
          <a:extLst>
            <a:ext uri="{FF2B5EF4-FFF2-40B4-BE49-F238E27FC236}">
              <a16:creationId xmlns:a16="http://schemas.microsoft.com/office/drawing/2014/main" id="{9D156C34-92DB-4087-A43F-B70448AA6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72440" y="3413760"/>
          <a:ext cx="297180" cy="25146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15</xdr:row>
      <xdr:rowOff>7620</xdr:rowOff>
    </xdr:from>
    <xdr:to>
      <xdr:col>1</xdr:col>
      <xdr:colOff>464820</xdr:colOff>
      <xdr:row>16</xdr:row>
      <xdr:rowOff>137160</xdr:rowOff>
    </xdr:to>
    <xdr:pic>
      <xdr:nvPicPr>
        <xdr:cNvPr id="37" name="Graphic 36" descr="Ticket outline">
          <a:extLst>
            <a:ext uri="{FF2B5EF4-FFF2-40B4-BE49-F238E27FC236}">
              <a16:creationId xmlns:a16="http://schemas.microsoft.com/office/drawing/2014/main" id="{1CADC2B0-6A43-420B-94DB-AE0362C6B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72440" y="2750820"/>
          <a:ext cx="312420" cy="3124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16</xdr:row>
      <xdr:rowOff>121920</xdr:rowOff>
    </xdr:from>
    <xdr:to>
      <xdr:col>1</xdr:col>
      <xdr:colOff>525780</xdr:colOff>
      <xdr:row>18</xdr:row>
      <xdr:rowOff>76200</xdr:rowOff>
    </xdr:to>
    <xdr:pic>
      <xdr:nvPicPr>
        <xdr:cNvPr id="38" name="Graphic 37" descr="Shopping bag outline">
          <a:extLst>
            <a:ext uri="{FF2B5EF4-FFF2-40B4-BE49-F238E27FC236}">
              <a16:creationId xmlns:a16="http://schemas.microsoft.com/office/drawing/2014/main" id="{52FF8B7C-DB0E-4ACB-968E-050FB3293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72440" y="3048000"/>
          <a:ext cx="373380" cy="32004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13</xdr:row>
      <xdr:rowOff>91440</xdr:rowOff>
    </xdr:from>
    <xdr:to>
      <xdr:col>1</xdr:col>
      <xdr:colOff>495300</xdr:colOff>
      <xdr:row>15</xdr:row>
      <xdr:rowOff>0</xdr:rowOff>
    </xdr:to>
    <xdr:pic>
      <xdr:nvPicPr>
        <xdr:cNvPr id="39" name="Graphic 38" descr="For Sale outline">
          <a:extLst>
            <a:ext uri="{FF2B5EF4-FFF2-40B4-BE49-F238E27FC236}">
              <a16:creationId xmlns:a16="http://schemas.microsoft.com/office/drawing/2014/main" id="{7CE94D2A-4E50-4B07-A4E5-C520B376D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72440" y="2468880"/>
          <a:ext cx="34290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20</xdr:row>
      <xdr:rowOff>60960</xdr:rowOff>
    </xdr:from>
    <xdr:to>
      <xdr:col>1</xdr:col>
      <xdr:colOff>480060</xdr:colOff>
      <xdr:row>21</xdr:row>
      <xdr:rowOff>152400</xdr:rowOff>
    </xdr:to>
    <xdr:pic>
      <xdr:nvPicPr>
        <xdr:cNvPr id="40" name="Graphic 39" descr="Inventory outline">
          <a:extLst>
            <a:ext uri="{FF2B5EF4-FFF2-40B4-BE49-F238E27FC236}">
              <a16:creationId xmlns:a16="http://schemas.microsoft.com/office/drawing/2014/main" id="{81410622-D9D5-48C8-A6AB-F1AF7948D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72440" y="3718560"/>
          <a:ext cx="327660" cy="274320"/>
        </a:xfrm>
        <a:prstGeom prst="rect">
          <a:avLst/>
        </a:prstGeom>
      </xdr:spPr>
    </xdr:pic>
    <xdr:clientData/>
  </xdr:twoCellAnchor>
  <xdr:twoCellAnchor editAs="absolute">
    <xdr:from>
      <xdr:col>3</xdr:col>
      <xdr:colOff>15240</xdr:colOff>
      <xdr:row>1</xdr:row>
      <xdr:rowOff>7620</xdr:rowOff>
    </xdr:from>
    <xdr:to>
      <xdr:col>12</xdr:col>
      <xdr:colOff>464820</xdr:colOff>
      <xdr:row>3</xdr:row>
      <xdr:rowOff>137160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1C6349B-B564-493A-9021-F36E7C9974D8}"/>
            </a:ext>
          </a:extLst>
        </xdr:cNvPr>
        <xdr:cNvSpPr/>
      </xdr:nvSpPr>
      <xdr:spPr>
        <a:xfrm>
          <a:off x="2331720" y="190500"/>
          <a:ext cx="7901940" cy="4953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3200" b="1">
              <a:solidFill>
                <a:schemeClr val="tx1"/>
              </a:solidFill>
            </a:rPr>
            <a:t>   Vendors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1</xdr:row>
      <xdr:rowOff>45720</xdr:rowOff>
    </xdr:from>
    <xdr:to>
      <xdr:col>1</xdr:col>
      <xdr:colOff>1165860</xdr:colOff>
      <xdr:row>4</xdr:row>
      <xdr:rowOff>91440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E7EE4859-8B5E-43C8-A70C-F09B30898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91540" y="2286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30480</xdr:colOff>
      <xdr:row>4</xdr:row>
      <xdr:rowOff>91440</xdr:rowOff>
    </xdr:from>
    <xdr:to>
      <xdr:col>1</xdr:col>
      <xdr:colOff>1638300</xdr:colOff>
      <xdr:row>7</xdr:row>
      <xdr:rowOff>45720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9E919A4-DF0A-441F-87AC-D29F6F0250C4}"/>
            </a:ext>
          </a:extLst>
        </xdr:cNvPr>
        <xdr:cNvSpPr/>
      </xdr:nvSpPr>
      <xdr:spPr>
        <a:xfrm>
          <a:off x="350520" y="822960"/>
          <a:ext cx="1607820" cy="5029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tx1"/>
              </a:solidFill>
            </a:rPr>
            <a:t>Inventory</a:t>
          </a:r>
          <a:endParaRPr lang="en-IN" sz="1200" b="1" baseline="0">
            <a:solidFill>
              <a:schemeClr val="tx1"/>
            </a:solidFill>
          </a:endParaRPr>
        </a:p>
        <a:p>
          <a:pPr algn="ctr"/>
          <a:r>
            <a:rPr lang="en-IN" sz="1200" b="1" baseline="0">
              <a:solidFill>
                <a:schemeClr val="tx1"/>
              </a:solidFill>
            </a:rPr>
            <a:t>Management System</a:t>
          </a:r>
          <a:endParaRPr lang="en-IN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525780</xdr:colOff>
      <xdr:row>8</xdr:row>
      <xdr:rowOff>30480</xdr:rowOff>
    </xdr:from>
    <xdr:to>
      <xdr:col>1</xdr:col>
      <xdr:colOff>1455420</xdr:colOff>
      <xdr:row>9</xdr:row>
      <xdr:rowOff>129540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5318E3D-0A46-4F34-8AD5-E5E092752E32}"/>
            </a:ext>
          </a:extLst>
        </xdr:cNvPr>
        <xdr:cNvSpPr/>
      </xdr:nvSpPr>
      <xdr:spPr>
        <a:xfrm>
          <a:off x="845820" y="1493520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>
    <xdr:from>
      <xdr:col>1</xdr:col>
      <xdr:colOff>525780</xdr:colOff>
      <xdr:row>9</xdr:row>
      <xdr:rowOff>168593</xdr:rowOff>
    </xdr:from>
    <xdr:to>
      <xdr:col>1</xdr:col>
      <xdr:colOff>1455420</xdr:colOff>
      <xdr:row>11</xdr:row>
      <xdr:rowOff>84773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E1FBB3E-70F9-4C1B-8699-F659B5944785}"/>
            </a:ext>
          </a:extLst>
        </xdr:cNvPr>
        <xdr:cNvSpPr/>
      </xdr:nvSpPr>
      <xdr:spPr>
        <a:xfrm>
          <a:off x="845820" y="1814513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>
    <xdr:from>
      <xdr:col>1</xdr:col>
      <xdr:colOff>525780</xdr:colOff>
      <xdr:row>11</xdr:row>
      <xdr:rowOff>123826</xdr:rowOff>
    </xdr:from>
    <xdr:to>
      <xdr:col>1</xdr:col>
      <xdr:colOff>1455420</xdr:colOff>
      <xdr:row>13</xdr:row>
      <xdr:rowOff>40006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4DFDB79-968F-47CE-B422-4717C44EAD01}"/>
            </a:ext>
          </a:extLst>
        </xdr:cNvPr>
        <xdr:cNvSpPr/>
      </xdr:nvSpPr>
      <xdr:spPr>
        <a:xfrm>
          <a:off x="845820" y="2135506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>
    <xdr:from>
      <xdr:col>1</xdr:col>
      <xdr:colOff>525780</xdr:colOff>
      <xdr:row>13</xdr:row>
      <xdr:rowOff>79059</xdr:rowOff>
    </xdr:from>
    <xdr:to>
      <xdr:col>1</xdr:col>
      <xdr:colOff>1455420</xdr:colOff>
      <xdr:row>14</xdr:row>
      <xdr:rowOff>178119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B85AE65-361E-45BA-9DEE-6F1B59DEF71F}"/>
            </a:ext>
          </a:extLst>
        </xdr:cNvPr>
        <xdr:cNvSpPr/>
      </xdr:nvSpPr>
      <xdr:spPr>
        <a:xfrm>
          <a:off x="845820" y="2456499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>
    <xdr:from>
      <xdr:col>1</xdr:col>
      <xdr:colOff>525780</xdr:colOff>
      <xdr:row>15</xdr:row>
      <xdr:rowOff>34292</xdr:rowOff>
    </xdr:from>
    <xdr:to>
      <xdr:col>1</xdr:col>
      <xdr:colOff>1455420</xdr:colOff>
      <xdr:row>16</xdr:row>
      <xdr:rowOff>133352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A35FB67-0495-48EA-9D7F-040743BF1D71}"/>
            </a:ext>
          </a:extLst>
        </xdr:cNvPr>
        <xdr:cNvSpPr/>
      </xdr:nvSpPr>
      <xdr:spPr>
        <a:xfrm>
          <a:off x="845820" y="2777492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/>
              </a:solidFill>
            </a:rPr>
            <a:t>New Entry</a:t>
          </a:r>
        </a:p>
      </xdr:txBody>
    </xdr:sp>
    <xdr:clientData/>
  </xdr:twoCellAnchor>
  <xdr:twoCellAnchor>
    <xdr:from>
      <xdr:col>1</xdr:col>
      <xdr:colOff>525780</xdr:colOff>
      <xdr:row>16</xdr:row>
      <xdr:rowOff>172405</xdr:rowOff>
    </xdr:from>
    <xdr:to>
      <xdr:col>1</xdr:col>
      <xdr:colOff>1455420</xdr:colOff>
      <xdr:row>18</xdr:row>
      <xdr:rowOff>88585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DBB0908-A027-4E85-A737-C6FAD94EF572}"/>
            </a:ext>
          </a:extLst>
        </xdr:cNvPr>
        <xdr:cNvSpPr/>
      </xdr:nvSpPr>
      <xdr:spPr>
        <a:xfrm>
          <a:off x="845820" y="3098485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Purcahse</a:t>
          </a:r>
        </a:p>
      </xdr:txBody>
    </xdr:sp>
    <xdr:clientData/>
  </xdr:twoCellAnchor>
  <xdr:twoCellAnchor>
    <xdr:from>
      <xdr:col>1</xdr:col>
      <xdr:colOff>525780</xdr:colOff>
      <xdr:row>18</xdr:row>
      <xdr:rowOff>127638</xdr:rowOff>
    </xdr:from>
    <xdr:to>
      <xdr:col>1</xdr:col>
      <xdr:colOff>1455420</xdr:colOff>
      <xdr:row>20</xdr:row>
      <xdr:rowOff>43818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69AA721-4AB6-42CC-9C44-80EE3ED2E01C}"/>
            </a:ext>
          </a:extLst>
        </xdr:cNvPr>
        <xdr:cNvSpPr/>
      </xdr:nvSpPr>
      <xdr:spPr>
        <a:xfrm>
          <a:off x="845820" y="3419478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>
    <xdr:from>
      <xdr:col>1</xdr:col>
      <xdr:colOff>525780</xdr:colOff>
      <xdr:row>20</xdr:row>
      <xdr:rowOff>82870</xdr:rowOff>
    </xdr:from>
    <xdr:to>
      <xdr:col>1</xdr:col>
      <xdr:colOff>1455420</xdr:colOff>
      <xdr:row>21</xdr:row>
      <xdr:rowOff>181930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3F155B6-1C96-4065-A597-3B0E2FC2C3FE}"/>
            </a:ext>
          </a:extLst>
        </xdr:cNvPr>
        <xdr:cNvSpPr/>
      </xdr:nvSpPr>
      <xdr:spPr>
        <a:xfrm>
          <a:off x="845820" y="3740470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>
    <xdr:from>
      <xdr:col>1</xdr:col>
      <xdr:colOff>525780</xdr:colOff>
      <xdr:row>22</xdr:row>
      <xdr:rowOff>38100</xdr:rowOff>
    </xdr:from>
    <xdr:to>
      <xdr:col>1</xdr:col>
      <xdr:colOff>1455420</xdr:colOff>
      <xdr:row>23</xdr:row>
      <xdr:rowOff>137160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8039603-0335-4143-840A-B1413CCBFD01}"/>
            </a:ext>
          </a:extLst>
        </xdr:cNvPr>
        <xdr:cNvSpPr/>
      </xdr:nvSpPr>
      <xdr:spPr>
        <a:xfrm>
          <a:off x="845820" y="4061460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N" sz="1200" b="1" baseline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152400</xdr:colOff>
      <xdr:row>8</xdr:row>
      <xdr:rowOff>22860</xdr:rowOff>
    </xdr:from>
    <xdr:to>
      <xdr:col>1</xdr:col>
      <xdr:colOff>457200</xdr:colOff>
      <xdr:row>9</xdr:row>
      <xdr:rowOff>129540</xdr:rowOff>
    </xdr:to>
    <xdr:pic>
      <xdr:nvPicPr>
        <xdr:cNvPr id="13" name="Graphic 12" descr="Clipboard Partially Crossed outline">
          <a:extLst>
            <a:ext uri="{FF2B5EF4-FFF2-40B4-BE49-F238E27FC236}">
              <a16:creationId xmlns:a16="http://schemas.microsoft.com/office/drawing/2014/main" id="{B8C5A723-CD23-4D55-8895-DDFEBD475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72440" y="1485900"/>
          <a:ext cx="304800" cy="289560"/>
        </a:xfrm>
        <a:prstGeom prst="rect">
          <a:avLst/>
        </a:prstGeom>
      </xdr:spPr>
    </xdr:pic>
    <xdr:clientData/>
  </xdr:twoCellAnchor>
  <xdr:twoCellAnchor editAs="oneCell">
    <xdr:from>
      <xdr:col>1</xdr:col>
      <xdr:colOff>144780</xdr:colOff>
      <xdr:row>9</xdr:row>
      <xdr:rowOff>152400</xdr:rowOff>
    </xdr:from>
    <xdr:to>
      <xdr:col>1</xdr:col>
      <xdr:colOff>502920</xdr:colOff>
      <xdr:row>11</xdr:row>
      <xdr:rowOff>91440</xdr:rowOff>
    </xdr:to>
    <xdr:pic>
      <xdr:nvPicPr>
        <xdr:cNvPr id="14" name="Graphic 13" descr="User outline">
          <a:extLst>
            <a:ext uri="{FF2B5EF4-FFF2-40B4-BE49-F238E27FC236}">
              <a16:creationId xmlns:a16="http://schemas.microsoft.com/office/drawing/2014/main" id="{31409789-4A6C-4D2A-989B-3313CF790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64820" y="1798320"/>
          <a:ext cx="35814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11</xdr:row>
      <xdr:rowOff>114300</xdr:rowOff>
    </xdr:from>
    <xdr:to>
      <xdr:col>1</xdr:col>
      <xdr:colOff>495300</xdr:colOff>
      <xdr:row>13</xdr:row>
      <xdr:rowOff>76200</xdr:rowOff>
    </xdr:to>
    <xdr:pic>
      <xdr:nvPicPr>
        <xdr:cNvPr id="15" name="Graphic 14" descr="Continuous Improvement outline">
          <a:extLst>
            <a:ext uri="{FF2B5EF4-FFF2-40B4-BE49-F238E27FC236}">
              <a16:creationId xmlns:a16="http://schemas.microsoft.com/office/drawing/2014/main" id="{20BC697B-4F2E-46BD-92F7-993B7914E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72440" y="2125980"/>
          <a:ext cx="342900" cy="32766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18</xdr:row>
      <xdr:rowOff>121920</xdr:rowOff>
    </xdr:from>
    <xdr:to>
      <xdr:col>1</xdr:col>
      <xdr:colOff>449580</xdr:colOff>
      <xdr:row>20</xdr:row>
      <xdr:rowOff>7620</xdr:rowOff>
    </xdr:to>
    <xdr:pic>
      <xdr:nvPicPr>
        <xdr:cNvPr id="16" name="Graphic 15" descr="Kiosk outline">
          <a:extLst>
            <a:ext uri="{FF2B5EF4-FFF2-40B4-BE49-F238E27FC236}">
              <a16:creationId xmlns:a16="http://schemas.microsoft.com/office/drawing/2014/main" id="{FF317BA9-1422-42C5-AF5B-FD6FEBDCB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72440" y="3413760"/>
          <a:ext cx="297180" cy="25146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15</xdr:row>
      <xdr:rowOff>7620</xdr:rowOff>
    </xdr:from>
    <xdr:to>
      <xdr:col>1</xdr:col>
      <xdr:colOff>464820</xdr:colOff>
      <xdr:row>16</xdr:row>
      <xdr:rowOff>137160</xdr:rowOff>
    </xdr:to>
    <xdr:pic>
      <xdr:nvPicPr>
        <xdr:cNvPr id="17" name="Graphic 16" descr="Ticket outline">
          <a:extLst>
            <a:ext uri="{FF2B5EF4-FFF2-40B4-BE49-F238E27FC236}">
              <a16:creationId xmlns:a16="http://schemas.microsoft.com/office/drawing/2014/main" id="{1DB114AC-B2A8-4BFB-B607-927AFCE9C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72440" y="2750820"/>
          <a:ext cx="312420" cy="3124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16</xdr:row>
      <xdr:rowOff>121920</xdr:rowOff>
    </xdr:from>
    <xdr:to>
      <xdr:col>1</xdr:col>
      <xdr:colOff>525780</xdr:colOff>
      <xdr:row>18</xdr:row>
      <xdr:rowOff>76200</xdr:rowOff>
    </xdr:to>
    <xdr:pic>
      <xdr:nvPicPr>
        <xdr:cNvPr id="18" name="Graphic 17" descr="Shopping bag outline">
          <a:extLst>
            <a:ext uri="{FF2B5EF4-FFF2-40B4-BE49-F238E27FC236}">
              <a16:creationId xmlns:a16="http://schemas.microsoft.com/office/drawing/2014/main" id="{0D94C85A-7695-4C3D-9D69-3E36098DD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72440" y="3048000"/>
          <a:ext cx="373380" cy="32004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13</xdr:row>
      <xdr:rowOff>91440</xdr:rowOff>
    </xdr:from>
    <xdr:to>
      <xdr:col>1</xdr:col>
      <xdr:colOff>495300</xdr:colOff>
      <xdr:row>15</xdr:row>
      <xdr:rowOff>0</xdr:rowOff>
    </xdr:to>
    <xdr:pic>
      <xdr:nvPicPr>
        <xdr:cNvPr id="19" name="Graphic 18" descr="For Sale outline">
          <a:extLst>
            <a:ext uri="{FF2B5EF4-FFF2-40B4-BE49-F238E27FC236}">
              <a16:creationId xmlns:a16="http://schemas.microsoft.com/office/drawing/2014/main" id="{6F9F5224-7AA2-4CB9-964F-8661C1424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72440" y="2468880"/>
          <a:ext cx="34290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20</xdr:row>
      <xdr:rowOff>60960</xdr:rowOff>
    </xdr:from>
    <xdr:to>
      <xdr:col>1</xdr:col>
      <xdr:colOff>480060</xdr:colOff>
      <xdr:row>21</xdr:row>
      <xdr:rowOff>152400</xdr:rowOff>
    </xdr:to>
    <xdr:pic>
      <xdr:nvPicPr>
        <xdr:cNvPr id="20" name="Graphic 19" descr="Inventory outline">
          <a:extLst>
            <a:ext uri="{FF2B5EF4-FFF2-40B4-BE49-F238E27FC236}">
              <a16:creationId xmlns:a16="http://schemas.microsoft.com/office/drawing/2014/main" id="{F739093A-63D0-4205-9EB6-111C6F3AF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72440" y="3718560"/>
          <a:ext cx="327660" cy="274320"/>
        </a:xfrm>
        <a:prstGeom prst="rect">
          <a:avLst/>
        </a:prstGeom>
      </xdr:spPr>
    </xdr:pic>
    <xdr:clientData/>
  </xdr:twoCellAnchor>
  <xdr:twoCellAnchor editAs="absolute">
    <xdr:from>
      <xdr:col>3</xdr:col>
      <xdr:colOff>22860</xdr:colOff>
      <xdr:row>1</xdr:row>
      <xdr:rowOff>7620</xdr:rowOff>
    </xdr:from>
    <xdr:to>
      <xdr:col>15</xdr:col>
      <xdr:colOff>327660</xdr:colOff>
      <xdr:row>3</xdr:row>
      <xdr:rowOff>137160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4880A78E-4534-4FF6-8683-2365D8BB42B5}"/>
            </a:ext>
          </a:extLst>
        </xdr:cNvPr>
        <xdr:cNvSpPr/>
      </xdr:nvSpPr>
      <xdr:spPr>
        <a:xfrm>
          <a:off x="2331720" y="190500"/>
          <a:ext cx="7901940" cy="4953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3200" b="1">
              <a:solidFill>
                <a:schemeClr val="tx1"/>
              </a:solidFill>
            </a:rPr>
            <a:t>   New</a:t>
          </a:r>
          <a:r>
            <a:rPr lang="en-IN" sz="3200" b="1" baseline="0">
              <a:solidFill>
                <a:schemeClr val="tx1"/>
              </a:solidFill>
            </a:rPr>
            <a:t> Entry</a:t>
          </a:r>
          <a:endParaRPr lang="en-IN" sz="3200" b="1">
            <a:solidFill>
              <a:schemeClr val="tx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1</xdr:row>
      <xdr:rowOff>45720</xdr:rowOff>
    </xdr:from>
    <xdr:to>
      <xdr:col>1</xdr:col>
      <xdr:colOff>1165860</xdr:colOff>
      <xdr:row>4</xdr:row>
      <xdr:rowOff>91440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ABB26B75-11A1-4F1D-B305-62F9E7BC8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91540" y="2286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30480</xdr:colOff>
      <xdr:row>4</xdr:row>
      <xdr:rowOff>91440</xdr:rowOff>
    </xdr:from>
    <xdr:to>
      <xdr:col>1</xdr:col>
      <xdr:colOff>1638300</xdr:colOff>
      <xdr:row>7</xdr:row>
      <xdr:rowOff>45720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EF00B32-84FE-416A-A744-17927E250CF1}"/>
            </a:ext>
          </a:extLst>
        </xdr:cNvPr>
        <xdr:cNvSpPr/>
      </xdr:nvSpPr>
      <xdr:spPr>
        <a:xfrm>
          <a:off x="350520" y="822960"/>
          <a:ext cx="1607820" cy="5029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tx1"/>
              </a:solidFill>
            </a:rPr>
            <a:t>Inventory</a:t>
          </a:r>
          <a:endParaRPr lang="en-IN" sz="1200" b="1" baseline="0">
            <a:solidFill>
              <a:schemeClr val="tx1"/>
            </a:solidFill>
          </a:endParaRPr>
        </a:p>
        <a:p>
          <a:pPr algn="ctr"/>
          <a:r>
            <a:rPr lang="en-IN" sz="1200" b="1" baseline="0">
              <a:solidFill>
                <a:schemeClr val="tx1"/>
              </a:solidFill>
            </a:rPr>
            <a:t>Management System</a:t>
          </a:r>
          <a:endParaRPr lang="en-IN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525780</xdr:colOff>
      <xdr:row>8</xdr:row>
      <xdr:rowOff>30480</xdr:rowOff>
    </xdr:from>
    <xdr:to>
      <xdr:col>1</xdr:col>
      <xdr:colOff>1455420</xdr:colOff>
      <xdr:row>9</xdr:row>
      <xdr:rowOff>129540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AC71D89-7BA2-48D7-A743-95820A18EEFE}"/>
            </a:ext>
          </a:extLst>
        </xdr:cNvPr>
        <xdr:cNvSpPr/>
      </xdr:nvSpPr>
      <xdr:spPr>
        <a:xfrm>
          <a:off x="845820" y="1493520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>
    <xdr:from>
      <xdr:col>1</xdr:col>
      <xdr:colOff>525780</xdr:colOff>
      <xdr:row>9</xdr:row>
      <xdr:rowOff>168593</xdr:rowOff>
    </xdr:from>
    <xdr:to>
      <xdr:col>1</xdr:col>
      <xdr:colOff>1455420</xdr:colOff>
      <xdr:row>11</xdr:row>
      <xdr:rowOff>84773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33CD625-485D-43C1-A093-38D1E828479E}"/>
            </a:ext>
          </a:extLst>
        </xdr:cNvPr>
        <xdr:cNvSpPr/>
      </xdr:nvSpPr>
      <xdr:spPr>
        <a:xfrm>
          <a:off x="845820" y="1814513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>
    <xdr:from>
      <xdr:col>1</xdr:col>
      <xdr:colOff>525780</xdr:colOff>
      <xdr:row>11</xdr:row>
      <xdr:rowOff>123826</xdr:rowOff>
    </xdr:from>
    <xdr:to>
      <xdr:col>1</xdr:col>
      <xdr:colOff>1455420</xdr:colOff>
      <xdr:row>13</xdr:row>
      <xdr:rowOff>40006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EBE03A4-E71E-46F9-845B-D4B442379CDE}"/>
            </a:ext>
          </a:extLst>
        </xdr:cNvPr>
        <xdr:cNvSpPr/>
      </xdr:nvSpPr>
      <xdr:spPr>
        <a:xfrm>
          <a:off x="845820" y="2135506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>
    <xdr:from>
      <xdr:col>1</xdr:col>
      <xdr:colOff>525780</xdr:colOff>
      <xdr:row>13</xdr:row>
      <xdr:rowOff>79059</xdr:rowOff>
    </xdr:from>
    <xdr:to>
      <xdr:col>1</xdr:col>
      <xdr:colOff>1455420</xdr:colOff>
      <xdr:row>14</xdr:row>
      <xdr:rowOff>178119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A200004-2D24-4CDF-9095-D42063E518FD}"/>
            </a:ext>
          </a:extLst>
        </xdr:cNvPr>
        <xdr:cNvSpPr/>
      </xdr:nvSpPr>
      <xdr:spPr>
        <a:xfrm>
          <a:off x="845820" y="2456499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>
    <xdr:from>
      <xdr:col>1</xdr:col>
      <xdr:colOff>525780</xdr:colOff>
      <xdr:row>15</xdr:row>
      <xdr:rowOff>34292</xdr:rowOff>
    </xdr:from>
    <xdr:to>
      <xdr:col>1</xdr:col>
      <xdr:colOff>1455420</xdr:colOff>
      <xdr:row>16</xdr:row>
      <xdr:rowOff>133352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6E70B4E-8D1E-43C7-9E5A-7D0EE12F973F}"/>
            </a:ext>
          </a:extLst>
        </xdr:cNvPr>
        <xdr:cNvSpPr/>
      </xdr:nvSpPr>
      <xdr:spPr>
        <a:xfrm>
          <a:off x="845820" y="2777492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>
    <xdr:from>
      <xdr:col>1</xdr:col>
      <xdr:colOff>525780</xdr:colOff>
      <xdr:row>16</xdr:row>
      <xdr:rowOff>172405</xdr:rowOff>
    </xdr:from>
    <xdr:to>
      <xdr:col>1</xdr:col>
      <xdr:colOff>1455420</xdr:colOff>
      <xdr:row>18</xdr:row>
      <xdr:rowOff>88585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EA7096F-34C1-4415-B2F3-82B854075D66}"/>
            </a:ext>
          </a:extLst>
        </xdr:cNvPr>
        <xdr:cNvSpPr/>
      </xdr:nvSpPr>
      <xdr:spPr>
        <a:xfrm>
          <a:off x="845820" y="3098485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/>
              </a:solidFill>
            </a:rPr>
            <a:t>Purcahse</a:t>
          </a:r>
        </a:p>
      </xdr:txBody>
    </xdr:sp>
    <xdr:clientData/>
  </xdr:twoCellAnchor>
  <xdr:twoCellAnchor>
    <xdr:from>
      <xdr:col>1</xdr:col>
      <xdr:colOff>525780</xdr:colOff>
      <xdr:row>18</xdr:row>
      <xdr:rowOff>127638</xdr:rowOff>
    </xdr:from>
    <xdr:to>
      <xdr:col>1</xdr:col>
      <xdr:colOff>1455420</xdr:colOff>
      <xdr:row>20</xdr:row>
      <xdr:rowOff>43818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DA27F13-B187-4512-83E2-E3035F9DAA32}"/>
            </a:ext>
          </a:extLst>
        </xdr:cNvPr>
        <xdr:cNvSpPr/>
      </xdr:nvSpPr>
      <xdr:spPr>
        <a:xfrm>
          <a:off x="845820" y="3419478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>
    <xdr:from>
      <xdr:col>1</xdr:col>
      <xdr:colOff>525780</xdr:colOff>
      <xdr:row>20</xdr:row>
      <xdr:rowOff>82870</xdr:rowOff>
    </xdr:from>
    <xdr:to>
      <xdr:col>1</xdr:col>
      <xdr:colOff>1455420</xdr:colOff>
      <xdr:row>21</xdr:row>
      <xdr:rowOff>181930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6F09112-EE61-471F-9A0F-E4C3E8718AEC}"/>
            </a:ext>
          </a:extLst>
        </xdr:cNvPr>
        <xdr:cNvSpPr/>
      </xdr:nvSpPr>
      <xdr:spPr>
        <a:xfrm>
          <a:off x="845820" y="3740470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>
    <xdr:from>
      <xdr:col>1</xdr:col>
      <xdr:colOff>525780</xdr:colOff>
      <xdr:row>22</xdr:row>
      <xdr:rowOff>38100</xdr:rowOff>
    </xdr:from>
    <xdr:to>
      <xdr:col>1</xdr:col>
      <xdr:colOff>1455420</xdr:colOff>
      <xdr:row>23</xdr:row>
      <xdr:rowOff>137160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7EABD25-497A-4C6F-8DE1-EFE12CB73305}"/>
            </a:ext>
          </a:extLst>
        </xdr:cNvPr>
        <xdr:cNvSpPr/>
      </xdr:nvSpPr>
      <xdr:spPr>
        <a:xfrm>
          <a:off x="845820" y="4061460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N" sz="1200" b="1" baseline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152400</xdr:colOff>
      <xdr:row>8</xdr:row>
      <xdr:rowOff>22860</xdr:rowOff>
    </xdr:from>
    <xdr:to>
      <xdr:col>1</xdr:col>
      <xdr:colOff>457200</xdr:colOff>
      <xdr:row>9</xdr:row>
      <xdr:rowOff>129540</xdr:rowOff>
    </xdr:to>
    <xdr:pic>
      <xdr:nvPicPr>
        <xdr:cNvPr id="13" name="Graphic 12" descr="Clipboard Partially Crossed outline">
          <a:extLst>
            <a:ext uri="{FF2B5EF4-FFF2-40B4-BE49-F238E27FC236}">
              <a16:creationId xmlns:a16="http://schemas.microsoft.com/office/drawing/2014/main" id="{EB5072F9-490D-4F04-BDA9-8D43A0570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72440" y="1485900"/>
          <a:ext cx="304800" cy="289560"/>
        </a:xfrm>
        <a:prstGeom prst="rect">
          <a:avLst/>
        </a:prstGeom>
      </xdr:spPr>
    </xdr:pic>
    <xdr:clientData/>
  </xdr:twoCellAnchor>
  <xdr:twoCellAnchor editAs="oneCell">
    <xdr:from>
      <xdr:col>1</xdr:col>
      <xdr:colOff>144780</xdr:colOff>
      <xdr:row>9</xdr:row>
      <xdr:rowOff>152400</xdr:rowOff>
    </xdr:from>
    <xdr:to>
      <xdr:col>1</xdr:col>
      <xdr:colOff>502920</xdr:colOff>
      <xdr:row>11</xdr:row>
      <xdr:rowOff>91440</xdr:rowOff>
    </xdr:to>
    <xdr:pic>
      <xdr:nvPicPr>
        <xdr:cNvPr id="14" name="Graphic 13" descr="User outline">
          <a:extLst>
            <a:ext uri="{FF2B5EF4-FFF2-40B4-BE49-F238E27FC236}">
              <a16:creationId xmlns:a16="http://schemas.microsoft.com/office/drawing/2014/main" id="{973474CA-C048-4E9B-9CAE-CD2621133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64820" y="1798320"/>
          <a:ext cx="35814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11</xdr:row>
      <xdr:rowOff>114300</xdr:rowOff>
    </xdr:from>
    <xdr:to>
      <xdr:col>1</xdr:col>
      <xdr:colOff>495300</xdr:colOff>
      <xdr:row>13</xdr:row>
      <xdr:rowOff>76200</xdr:rowOff>
    </xdr:to>
    <xdr:pic>
      <xdr:nvPicPr>
        <xdr:cNvPr id="15" name="Graphic 14" descr="Continuous Improvement outline">
          <a:extLst>
            <a:ext uri="{FF2B5EF4-FFF2-40B4-BE49-F238E27FC236}">
              <a16:creationId xmlns:a16="http://schemas.microsoft.com/office/drawing/2014/main" id="{4E586BFE-6441-455E-9600-618685CB6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72440" y="2125980"/>
          <a:ext cx="342900" cy="32766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18</xdr:row>
      <xdr:rowOff>121920</xdr:rowOff>
    </xdr:from>
    <xdr:to>
      <xdr:col>1</xdr:col>
      <xdr:colOff>449580</xdr:colOff>
      <xdr:row>20</xdr:row>
      <xdr:rowOff>7620</xdr:rowOff>
    </xdr:to>
    <xdr:pic>
      <xdr:nvPicPr>
        <xdr:cNvPr id="16" name="Graphic 15" descr="Kiosk outline">
          <a:extLst>
            <a:ext uri="{FF2B5EF4-FFF2-40B4-BE49-F238E27FC236}">
              <a16:creationId xmlns:a16="http://schemas.microsoft.com/office/drawing/2014/main" id="{C6B61823-8D4F-4255-99D0-F9FBADBA8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72440" y="3413760"/>
          <a:ext cx="297180" cy="25146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15</xdr:row>
      <xdr:rowOff>7620</xdr:rowOff>
    </xdr:from>
    <xdr:to>
      <xdr:col>1</xdr:col>
      <xdr:colOff>464820</xdr:colOff>
      <xdr:row>16</xdr:row>
      <xdr:rowOff>137160</xdr:rowOff>
    </xdr:to>
    <xdr:pic>
      <xdr:nvPicPr>
        <xdr:cNvPr id="17" name="Graphic 16" descr="Ticket outline">
          <a:extLst>
            <a:ext uri="{FF2B5EF4-FFF2-40B4-BE49-F238E27FC236}">
              <a16:creationId xmlns:a16="http://schemas.microsoft.com/office/drawing/2014/main" id="{E0752706-2231-436E-B5C3-64745A299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72440" y="2750820"/>
          <a:ext cx="312420" cy="3124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16</xdr:row>
      <xdr:rowOff>121920</xdr:rowOff>
    </xdr:from>
    <xdr:to>
      <xdr:col>1</xdr:col>
      <xdr:colOff>525780</xdr:colOff>
      <xdr:row>18</xdr:row>
      <xdr:rowOff>76200</xdr:rowOff>
    </xdr:to>
    <xdr:pic>
      <xdr:nvPicPr>
        <xdr:cNvPr id="18" name="Graphic 17" descr="Shopping bag outline">
          <a:extLst>
            <a:ext uri="{FF2B5EF4-FFF2-40B4-BE49-F238E27FC236}">
              <a16:creationId xmlns:a16="http://schemas.microsoft.com/office/drawing/2014/main" id="{977252F3-43A2-4282-B6E4-B5D27530D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72440" y="3048000"/>
          <a:ext cx="373380" cy="32004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13</xdr:row>
      <xdr:rowOff>91440</xdr:rowOff>
    </xdr:from>
    <xdr:to>
      <xdr:col>1</xdr:col>
      <xdr:colOff>495300</xdr:colOff>
      <xdr:row>15</xdr:row>
      <xdr:rowOff>0</xdr:rowOff>
    </xdr:to>
    <xdr:pic>
      <xdr:nvPicPr>
        <xdr:cNvPr id="19" name="Graphic 18" descr="For Sale outline">
          <a:extLst>
            <a:ext uri="{FF2B5EF4-FFF2-40B4-BE49-F238E27FC236}">
              <a16:creationId xmlns:a16="http://schemas.microsoft.com/office/drawing/2014/main" id="{C6E07B7A-24B9-485B-B3A7-370ADD807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72440" y="2468880"/>
          <a:ext cx="34290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20</xdr:row>
      <xdr:rowOff>60960</xdr:rowOff>
    </xdr:from>
    <xdr:to>
      <xdr:col>1</xdr:col>
      <xdr:colOff>480060</xdr:colOff>
      <xdr:row>21</xdr:row>
      <xdr:rowOff>152400</xdr:rowOff>
    </xdr:to>
    <xdr:pic>
      <xdr:nvPicPr>
        <xdr:cNvPr id="20" name="Graphic 19" descr="Inventory outline">
          <a:extLst>
            <a:ext uri="{FF2B5EF4-FFF2-40B4-BE49-F238E27FC236}">
              <a16:creationId xmlns:a16="http://schemas.microsoft.com/office/drawing/2014/main" id="{33A8E250-4859-4EC0-9930-C3F32A3E4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72440" y="3718560"/>
          <a:ext cx="327660" cy="274320"/>
        </a:xfrm>
        <a:prstGeom prst="rect">
          <a:avLst/>
        </a:prstGeom>
      </xdr:spPr>
    </xdr:pic>
    <xdr:clientData/>
  </xdr:twoCellAnchor>
  <xdr:twoCellAnchor editAs="absolute">
    <xdr:from>
      <xdr:col>3</xdr:col>
      <xdr:colOff>15240</xdr:colOff>
      <xdr:row>1</xdr:row>
      <xdr:rowOff>7620</xdr:rowOff>
    </xdr:from>
    <xdr:to>
      <xdr:col>13</xdr:col>
      <xdr:colOff>320040</xdr:colOff>
      <xdr:row>3</xdr:row>
      <xdr:rowOff>137160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0921226-450C-463E-ACD8-6C0A55137227}"/>
            </a:ext>
          </a:extLst>
        </xdr:cNvPr>
        <xdr:cNvSpPr/>
      </xdr:nvSpPr>
      <xdr:spPr>
        <a:xfrm>
          <a:off x="2331720" y="190500"/>
          <a:ext cx="7901940" cy="4953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3200" b="1">
              <a:solidFill>
                <a:schemeClr val="tx1"/>
              </a:solidFill>
            </a:rPr>
            <a:t>   Purchase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1</xdr:row>
      <xdr:rowOff>45720</xdr:rowOff>
    </xdr:from>
    <xdr:to>
      <xdr:col>1</xdr:col>
      <xdr:colOff>1165860</xdr:colOff>
      <xdr:row>4</xdr:row>
      <xdr:rowOff>91440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BD69494E-0268-4696-8A51-FBA422723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91540" y="2286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30480</xdr:colOff>
      <xdr:row>4</xdr:row>
      <xdr:rowOff>91440</xdr:rowOff>
    </xdr:from>
    <xdr:to>
      <xdr:col>1</xdr:col>
      <xdr:colOff>1638300</xdr:colOff>
      <xdr:row>7</xdr:row>
      <xdr:rowOff>45720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7C920CD-875E-428A-AC85-A10C88CA4BC7}"/>
            </a:ext>
          </a:extLst>
        </xdr:cNvPr>
        <xdr:cNvSpPr/>
      </xdr:nvSpPr>
      <xdr:spPr>
        <a:xfrm>
          <a:off x="350520" y="822960"/>
          <a:ext cx="1607820" cy="5029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tx1"/>
              </a:solidFill>
            </a:rPr>
            <a:t>Inventory</a:t>
          </a:r>
          <a:endParaRPr lang="en-IN" sz="1200" b="1" baseline="0">
            <a:solidFill>
              <a:schemeClr val="tx1"/>
            </a:solidFill>
          </a:endParaRPr>
        </a:p>
        <a:p>
          <a:pPr algn="ctr"/>
          <a:r>
            <a:rPr lang="en-IN" sz="1200" b="1" baseline="0">
              <a:solidFill>
                <a:schemeClr val="tx1"/>
              </a:solidFill>
            </a:rPr>
            <a:t>Management System</a:t>
          </a:r>
          <a:endParaRPr lang="en-IN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525780</xdr:colOff>
      <xdr:row>8</xdr:row>
      <xdr:rowOff>30480</xdr:rowOff>
    </xdr:from>
    <xdr:to>
      <xdr:col>1</xdr:col>
      <xdr:colOff>1455420</xdr:colOff>
      <xdr:row>9</xdr:row>
      <xdr:rowOff>129540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45869C6-09F8-4612-8E8C-CCBF21BECD5C}"/>
            </a:ext>
          </a:extLst>
        </xdr:cNvPr>
        <xdr:cNvSpPr/>
      </xdr:nvSpPr>
      <xdr:spPr>
        <a:xfrm>
          <a:off x="845820" y="1493520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>
    <xdr:from>
      <xdr:col>1</xdr:col>
      <xdr:colOff>525780</xdr:colOff>
      <xdr:row>9</xdr:row>
      <xdr:rowOff>168593</xdr:rowOff>
    </xdr:from>
    <xdr:to>
      <xdr:col>1</xdr:col>
      <xdr:colOff>1455420</xdr:colOff>
      <xdr:row>11</xdr:row>
      <xdr:rowOff>84773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1D45852-283F-4032-8324-35B61376E9B9}"/>
            </a:ext>
          </a:extLst>
        </xdr:cNvPr>
        <xdr:cNvSpPr/>
      </xdr:nvSpPr>
      <xdr:spPr>
        <a:xfrm>
          <a:off x="845820" y="1814513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>
    <xdr:from>
      <xdr:col>1</xdr:col>
      <xdr:colOff>525780</xdr:colOff>
      <xdr:row>11</xdr:row>
      <xdr:rowOff>123826</xdr:rowOff>
    </xdr:from>
    <xdr:to>
      <xdr:col>1</xdr:col>
      <xdr:colOff>1455420</xdr:colOff>
      <xdr:row>13</xdr:row>
      <xdr:rowOff>40006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2D0CA94-62F8-4D24-81F1-F4FF81FBA639}"/>
            </a:ext>
          </a:extLst>
        </xdr:cNvPr>
        <xdr:cNvSpPr/>
      </xdr:nvSpPr>
      <xdr:spPr>
        <a:xfrm>
          <a:off x="845820" y="2135506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>
    <xdr:from>
      <xdr:col>1</xdr:col>
      <xdr:colOff>525780</xdr:colOff>
      <xdr:row>13</xdr:row>
      <xdr:rowOff>79059</xdr:rowOff>
    </xdr:from>
    <xdr:to>
      <xdr:col>1</xdr:col>
      <xdr:colOff>1455420</xdr:colOff>
      <xdr:row>14</xdr:row>
      <xdr:rowOff>178119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E4F1D0A-5CA2-4298-9365-778717E6506F}"/>
            </a:ext>
          </a:extLst>
        </xdr:cNvPr>
        <xdr:cNvSpPr/>
      </xdr:nvSpPr>
      <xdr:spPr>
        <a:xfrm>
          <a:off x="845820" y="2456499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>
    <xdr:from>
      <xdr:col>1</xdr:col>
      <xdr:colOff>525780</xdr:colOff>
      <xdr:row>15</xdr:row>
      <xdr:rowOff>34292</xdr:rowOff>
    </xdr:from>
    <xdr:to>
      <xdr:col>1</xdr:col>
      <xdr:colOff>1455420</xdr:colOff>
      <xdr:row>16</xdr:row>
      <xdr:rowOff>133352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9791944-E801-4597-97CC-0ED72B220122}"/>
            </a:ext>
          </a:extLst>
        </xdr:cNvPr>
        <xdr:cNvSpPr/>
      </xdr:nvSpPr>
      <xdr:spPr>
        <a:xfrm>
          <a:off x="845820" y="2777492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>
    <xdr:from>
      <xdr:col>1</xdr:col>
      <xdr:colOff>525780</xdr:colOff>
      <xdr:row>16</xdr:row>
      <xdr:rowOff>172405</xdr:rowOff>
    </xdr:from>
    <xdr:to>
      <xdr:col>1</xdr:col>
      <xdr:colOff>1455420</xdr:colOff>
      <xdr:row>18</xdr:row>
      <xdr:rowOff>88585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F1063DD-B982-45DA-B14B-EDF66FCC957C}"/>
            </a:ext>
          </a:extLst>
        </xdr:cNvPr>
        <xdr:cNvSpPr/>
      </xdr:nvSpPr>
      <xdr:spPr>
        <a:xfrm>
          <a:off x="845820" y="3098485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Purcahse</a:t>
          </a:r>
        </a:p>
      </xdr:txBody>
    </xdr:sp>
    <xdr:clientData/>
  </xdr:twoCellAnchor>
  <xdr:twoCellAnchor>
    <xdr:from>
      <xdr:col>1</xdr:col>
      <xdr:colOff>525780</xdr:colOff>
      <xdr:row>18</xdr:row>
      <xdr:rowOff>127638</xdr:rowOff>
    </xdr:from>
    <xdr:to>
      <xdr:col>1</xdr:col>
      <xdr:colOff>1455420</xdr:colOff>
      <xdr:row>20</xdr:row>
      <xdr:rowOff>43818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20C3483-EBC8-44E8-88A0-2CF1F272EDE8}"/>
            </a:ext>
          </a:extLst>
        </xdr:cNvPr>
        <xdr:cNvSpPr/>
      </xdr:nvSpPr>
      <xdr:spPr>
        <a:xfrm>
          <a:off x="845820" y="3419478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/>
              </a:solidFill>
            </a:rPr>
            <a:t>Sales</a:t>
          </a:r>
        </a:p>
      </xdr:txBody>
    </xdr:sp>
    <xdr:clientData/>
  </xdr:twoCellAnchor>
  <xdr:twoCellAnchor>
    <xdr:from>
      <xdr:col>1</xdr:col>
      <xdr:colOff>525780</xdr:colOff>
      <xdr:row>20</xdr:row>
      <xdr:rowOff>82870</xdr:rowOff>
    </xdr:from>
    <xdr:to>
      <xdr:col>1</xdr:col>
      <xdr:colOff>1455420</xdr:colOff>
      <xdr:row>21</xdr:row>
      <xdr:rowOff>181930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45B079C-0E45-4D1E-AA4C-C3ADCF303362}"/>
            </a:ext>
          </a:extLst>
        </xdr:cNvPr>
        <xdr:cNvSpPr/>
      </xdr:nvSpPr>
      <xdr:spPr>
        <a:xfrm>
          <a:off x="845820" y="3740470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>
    <xdr:from>
      <xdr:col>1</xdr:col>
      <xdr:colOff>525780</xdr:colOff>
      <xdr:row>22</xdr:row>
      <xdr:rowOff>38100</xdr:rowOff>
    </xdr:from>
    <xdr:to>
      <xdr:col>1</xdr:col>
      <xdr:colOff>1455420</xdr:colOff>
      <xdr:row>23</xdr:row>
      <xdr:rowOff>137160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24FC4BC-34AE-493A-A401-EE45824E5720}"/>
            </a:ext>
          </a:extLst>
        </xdr:cNvPr>
        <xdr:cNvSpPr/>
      </xdr:nvSpPr>
      <xdr:spPr>
        <a:xfrm>
          <a:off x="845820" y="4061460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N" sz="1200" b="1" baseline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152400</xdr:colOff>
      <xdr:row>8</xdr:row>
      <xdr:rowOff>22860</xdr:rowOff>
    </xdr:from>
    <xdr:to>
      <xdr:col>1</xdr:col>
      <xdr:colOff>457200</xdr:colOff>
      <xdr:row>9</xdr:row>
      <xdr:rowOff>129540</xdr:rowOff>
    </xdr:to>
    <xdr:pic>
      <xdr:nvPicPr>
        <xdr:cNvPr id="13" name="Graphic 12" descr="Clipboard Partially Crossed outline">
          <a:extLst>
            <a:ext uri="{FF2B5EF4-FFF2-40B4-BE49-F238E27FC236}">
              <a16:creationId xmlns:a16="http://schemas.microsoft.com/office/drawing/2014/main" id="{06B94707-7366-4A73-B636-BADAA7ED6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72440" y="1485900"/>
          <a:ext cx="304800" cy="289560"/>
        </a:xfrm>
        <a:prstGeom prst="rect">
          <a:avLst/>
        </a:prstGeom>
      </xdr:spPr>
    </xdr:pic>
    <xdr:clientData/>
  </xdr:twoCellAnchor>
  <xdr:twoCellAnchor editAs="oneCell">
    <xdr:from>
      <xdr:col>1</xdr:col>
      <xdr:colOff>144780</xdr:colOff>
      <xdr:row>9</xdr:row>
      <xdr:rowOff>152400</xdr:rowOff>
    </xdr:from>
    <xdr:to>
      <xdr:col>1</xdr:col>
      <xdr:colOff>502920</xdr:colOff>
      <xdr:row>11</xdr:row>
      <xdr:rowOff>91440</xdr:rowOff>
    </xdr:to>
    <xdr:pic>
      <xdr:nvPicPr>
        <xdr:cNvPr id="14" name="Graphic 13" descr="User outline">
          <a:extLst>
            <a:ext uri="{FF2B5EF4-FFF2-40B4-BE49-F238E27FC236}">
              <a16:creationId xmlns:a16="http://schemas.microsoft.com/office/drawing/2014/main" id="{1A3BAA36-7DFF-4C85-AD18-9F7065230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64820" y="1798320"/>
          <a:ext cx="35814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11</xdr:row>
      <xdr:rowOff>114300</xdr:rowOff>
    </xdr:from>
    <xdr:to>
      <xdr:col>1</xdr:col>
      <xdr:colOff>495300</xdr:colOff>
      <xdr:row>13</xdr:row>
      <xdr:rowOff>76200</xdr:rowOff>
    </xdr:to>
    <xdr:pic>
      <xdr:nvPicPr>
        <xdr:cNvPr id="15" name="Graphic 14" descr="Continuous Improvement outline">
          <a:extLst>
            <a:ext uri="{FF2B5EF4-FFF2-40B4-BE49-F238E27FC236}">
              <a16:creationId xmlns:a16="http://schemas.microsoft.com/office/drawing/2014/main" id="{6375DB91-986A-4229-B69A-CEE89B9D3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72440" y="2125980"/>
          <a:ext cx="342900" cy="32766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18</xdr:row>
      <xdr:rowOff>121920</xdr:rowOff>
    </xdr:from>
    <xdr:to>
      <xdr:col>1</xdr:col>
      <xdr:colOff>449580</xdr:colOff>
      <xdr:row>20</xdr:row>
      <xdr:rowOff>7620</xdr:rowOff>
    </xdr:to>
    <xdr:pic>
      <xdr:nvPicPr>
        <xdr:cNvPr id="16" name="Graphic 15" descr="Kiosk outline">
          <a:extLst>
            <a:ext uri="{FF2B5EF4-FFF2-40B4-BE49-F238E27FC236}">
              <a16:creationId xmlns:a16="http://schemas.microsoft.com/office/drawing/2014/main" id="{17A3F2F8-35D0-4EF8-8BD3-1BA50FF37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72440" y="3413760"/>
          <a:ext cx="297180" cy="25146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15</xdr:row>
      <xdr:rowOff>7620</xdr:rowOff>
    </xdr:from>
    <xdr:to>
      <xdr:col>1</xdr:col>
      <xdr:colOff>464820</xdr:colOff>
      <xdr:row>16</xdr:row>
      <xdr:rowOff>137160</xdr:rowOff>
    </xdr:to>
    <xdr:pic>
      <xdr:nvPicPr>
        <xdr:cNvPr id="17" name="Graphic 16" descr="Ticket outline">
          <a:extLst>
            <a:ext uri="{FF2B5EF4-FFF2-40B4-BE49-F238E27FC236}">
              <a16:creationId xmlns:a16="http://schemas.microsoft.com/office/drawing/2014/main" id="{08927BDE-DAA9-4C95-A655-9C668518D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72440" y="2750820"/>
          <a:ext cx="312420" cy="3124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16</xdr:row>
      <xdr:rowOff>121920</xdr:rowOff>
    </xdr:from>
    <xdr:to>
      <xdr:col>1</xdr:col>
      <xdr:colOff>525780</xdr:colOff>
      <xdr:row>18</xdr:row>
      <xdr:rowOff>76200</xdr:rowOff>
    </xdr:to>
    <xdr:pic>
      <xdr:nvPicPr>
        <xdr:cNvPr id="18" name="Graphic 17" descr="Shopping bag outline">
          <a:extLst>
            <a:ext uri="{FF2B5EF4-FFF2-40B4-BE49-F238E27FC236}">
              <a16:creationId xmlns:a16="http://schemas.microsoft.com/office/drawing/2014/main" id="{42363FF4-A4D5-4873-B244-A54492AD3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72440" y="3048000"/>
          <a:ext cx="373380" cy="32004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13</xdr:row>
      <xdr:rowOff>91440</xdr:rowOff>
    </xdr:from>
    <xdr:to>
      <xdr:col>1</xdr:col>
      <xdr:colOff>495300</xdr:colOff>
      <xdr:row>15</xdr:row>
      <xdr:rowOff>0</xdr:rowOff>
    </xdr:to>
    <xdr:pic>
      <xdr:nvPicPr>
        <xdr:cNvPr id="19" name="Graphic 18" descr="For Sale outline">
          <a:extLst>
            <a:ext uri="{FF2B5EF4-FFF2-40B4-BE49-F238E27FC236}">
              <a16:creationId xmlns:a16="http://schemas.microsoft.com/office/drawing/2014/main" id="{EA0D75B9-7D76-4E07-BBFB-A413E0839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72440" y="2468880"/>
          <a:ext cx="34290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20</xdr:row>
      <xdr:rowOff>60960</xdr:rowOff>
    </xdr:from>
    <xdr:to>
      <xdr:col>1</xdr:col>
      <xdr:colOff>480060</xdr:colOff>
      <xdr:row>21</xdr:row>
      <xdr:rowOff>152400</xdr:rowOff>
    </xdr:to>
    <xdr:pic>
      <xdr:nvPicPr>
        <xdr:cNvPr id="20" name="Graphic 19" descr="Inventory outline">
          <a:extLst>
            <a:ext uri="{FF2B5EF4-FFF2-40B4-BE49-F238E27FC236}">
              <a16:creationId xmlns:a16="http://schemas.microsoft.com/office/drawing/2014/main" id="{B7F61A83-2741-499D-8137-5ED2B81DD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72440" y="3718560"/>
          <a:ext cx="327660" cy="274320"/>
        </a:xfrm>
        <a:prstGeom prst="rect">
          <a:avLst/>
        </a:prstGeom>
      </xdr:spPr>
    </xdr:pic>
    <xdr:clientData/>
  </xdr:twoCellAnchor>
  <xdr:twoCellAnchor editAs="absolute">
    <xdr:from>
      <xdr:col>3</xdr:col>
      <xdr:colOff>7620</xdr:colOff>
      <xdr:row>0</xdr:row>
      <xdr:rowOff>144780</xdr:rowOff>
    </xdr:from>
    <xdr:to>
      <xdr:col>12</xdr:col>
      <xdr:colOff>160020</xdr:colOff>
      <xdr:row>3</xdr:row>
      <xdr:rowOff>91440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60785C4-D656-4F69-865D-B795ACFC47C5}"/>
            </a:ext>
          </a:extLst>
        </xdr:cNvPr>
        <xdr:cNvSpPr/>
      </xdr:nvSpPr>
      <xdr:spPr>
        <a:xfrm>
          <a:off x="2324100" y="144780"/>
          <a:ext cx="7901940" cy="4953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3200" b="1">
              <a:solidFill>
                <a:schemeClr val="tx1"/>
              </a:solidFill>
            </a:rPr>
            <a:t>   Sales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1</xdr:row>
      <xdr:rowOff>45720</xdr:rowOff>
    </xdr:from>
    <xdr:to>
      <xdr:col>1</xdr:col>
      <xdr:colOff>1165860</xdr:colOff>
      <xdr:row>4</xdr:row>
      <xdr:rowOff>91440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44EF2C03-3722-4934-8489-BB8848D31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91540" y="228600"/>
          <a:ext cx="594360" cy="594360"/>
        </a:xfrm>
        <a:prstGeom prst="rect">
          <a:avLst/>
        </a:prstGeom>
      </xdr:spPr>
    </xdr:pic>
    <xdr:clientData/>
  </xdr:twoCellAnchor>
  <xdr:twoCellAnchor>
    <xdr:from>
      <xdr:col>1</xdr:col>
      <xdr:colOff>30480</xdr:colOff>
      <xdr:row>4</xdr:row>
      <xdr:rowOff>91440</xdr:rowOff>
    </xdr:from>
    <xdr:to>
      <xdr:col>1</xdr:col>
      <xdr:colOff>1638300</xdr:colOff>
      <xdr:row>7</xdr:row>
      <xdr:rowOff>45720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9FB3A74-397E-45FA-85F1-5308407AADDF}"/>
            </a:ext>
          </a:extLst>
        </xdr:cNvPr>
        <xdr:cNvSpPr/>
      </xdr:nvSpPr>
      <xdr:spPr>
        <a:xfrm>
          <a:off x="350520" y="822960"/>
          <a:ext cx="1607820" cy="5029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tx1"/>
              </a:solidFill>
            </a:rPr>
            <a:t>Inventory</a:t>
          </a:r>
          <a:endParaRPr lang="en-IN" sz="1200" b="1" baseline="0">
            <a:solidFill>
              <a:schemeClr val="tx1"/>
            </a:solidFill>
          </a:endParaRPr>
        </a:p>
        <a:p>
          <a:pPr algn="ctr"/>
          <a:r>
            <a:rPr lang="en-IN" sz="1200" b="1" baseline="0">
              <a:solidFill>
                <a:schemeClr val="tx1"/>
              </a:solidFill>
            </a:rPr>
            <a:t>Management System</a:t>
          </a:r>
          <a:endParaRPr lang="en-IN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525780</xdr:colOff>
      <xdr:row>8</xdr:row>
      <xdr:rowOff>30480</xdr:rowOff>
    </xdr:from>
    <xdr:to>
      <xdr:col>1</xdr:col>
      <xdr:colOff>1455420</xdr:colOff>
      <xdr:row>9</xdr:row>
      <xdr:rowOff>129540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06F8460-0B84-45B5-A6C6-1969679F44A5}"/>
            </a:ext>
          </a:extLst>
        </xdr:cNvPr>
        <xdr:cNvSpPr/>
      </xdr:nvSpPr>
      <xdr:spPr>
        <a:xfrm>
          <a:off x="845820" y="1493520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>
    <xdr:from>
      <xdr:col>1</xdr:col>
      <xdr:colOff>525780</xdr:colOff>
      <xdr:row>9</xdr:row>
      <xdr:rowOff>168593</xdr:rowOff>
    </xdr:from>
    <xdr:to>
      <xdr:col>1</xdr:col>
      <xdr:colOff>1455420</xdr:colOff>
      <xdr:row>11</xdr:row>
      <xdr:rowOff>84773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704AC50-DD65-4A5F-BF57-9E7EED678379}"/>
            </a:ext>
          </a:extLst>
        </xdr:cNvPr>
        <xdr:cNvSpPr/>
      </xdr:nvSpPr>
      <xdr:spPr>
        <a:xfrm>
          <a:off x="845820" y="1814513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>
    <xdr:from>
      <xdr:col>1</xdr:col>
      <xdr:colOff>525780</xdr:colOff>
      <xdr:row>11</xdr:row>
      <xdr:rowOff>123826</xdr:rowOff>
    </xdr:from>
    <xdr:to>
      <xdr:col>1</xdr:col>
      <xdr:colOff>1455420</xdr:colOff>
      <xdr:row>13</xdr:row>
      <xdr:rowOff>40006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D62EF4-417E-4530-A5C4-6452E9036845}"/>
            </a:ext>
          </a:extLst>
        </xdr:cNvPr>
        <xdr:cNvSpPr/>
      </xdr:nvSpPr>
      <xdr:spPr>
        <a:xfrm>
          <a:off x="845820" y="2135506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>
    <xdr:from>
      <xdr:col>1</xdr:col>
      <xdr:colOff>525780</xdr:colOff>
      <xdr:row>13</xdr:row>
      <xdr:rowOff>79059</xdr:rowOff>
    </xdr:from>
    <xdr:to>
      <xdr:col>1</xdr:col>
      <xdr:colOff>1455420</xdr:colOff>
      <xdr:row>14</xdr:row>
      <xdr:rowOff>178119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2EA316B-8459-408B-AC62-173071E30028}"/>
            </a:ext>
          </a:extLst>
        </xdr:cNvPr>
        <xdr:cNvSpPr/>
      </xdr:nvSpPr>
      <xdr:spPr>
        <a:xfrm>
          <a:off x="845820" y="2456499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>
    <xdr:from>
      <xdr:col>1</xdr:col>
      <xdr:colOff>525780</xdr:colOff>
      <xdr:row>15</xdr:row>
      <xdr:rowOff>34292</xdr:rowOff>
    </xdr:from>
    <xdr:to>
      <xdr:col>1</xdr:col>
      <xdr:colOff>1455420</xdr:colOff>
      <xdr:row>16</xdr:row>
      <xdr:rowOff>133352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A932870-B126-4CBF-93D7-994EE120EB34}"/>
            </a:ext>
          </a:extLst>
        </xdr:cNvPr>
        <xdr:cNvSpPr/>
      </xdr:nvSpPr>
      <xdr:spPr>
        <a:xfrm>
          <a:off x="845820" y="2777492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>
    <xdr:from>
      <xdr:col>1</xdr:col>
      <xdr:colOff>525780</xdr:colOff>
      <xdr:row>16</xdr:row>
      <xdr:rowOff>172405</xdr:rowOff>
    </xdr:from>
    <xdr:to>
      <xdr:col>1</xdr:col>
      <xdr:colOff>1455420</xdr:colOff>
      <xdr:row>18</xdr:row>
      <xdr:rowOff>88585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7FA7874-48DB-4A71-A839-50CD3E5F10A0}"/>
            </a:ext>
          </a:extLst>
        </xdr:cNvPr>
        <xdr:cNvSpPr/>
      </xdr:nvSpPr>
      <xdr:spPr>
        <a:xfrm>
          <a:off x="845820" y="3098485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Purcahse</a:t>
          </a:r>
        </a:p>
      </xdr:txBody>
    </xdr:sp>
    <xdr:clientData/>
  </xdr:twoCellAnchor>
  <xdr:twoCellAnchor>
    <xdr:from>
      <xdr:col>1</xdr:col>
      <xdr:colOff>525780</xdr:colOff>
      <xdr:row>18</xdr:row>
      <xdr:rowOff>127638</xdr:rowOff>
    </xdr:from>
    <xdr:to>
      <xdr:col>1</xdr:col>
      <xdr:colOff>1455420</xdr:colOff>
      <xdr:row>20</xdr:row>
      <xdr:rowOff>43818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6B7510D-5DA0-4F6E-88A7-AEA6B0148775}"/>
            </a:ext>
          </a:extLst>
        </xdr:cNvPr>
        <xdr:cNvSpPr/>
      </xdr:nvSpPr>
      <xdr:spPr>
        <a:xfrm>
          <a:off x="845820" y="3419478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>
    <xdr:from>
      <xdr:col>1</xdr:col>
      <xdr:colOff>525780</xdr:colOff>
      <xdr:row>20</xdr:row>
      <xdr:rowOff>82870</xdr:rowOff>
    </xdr:from>
    <xdr:to>
      <xdr:col>1</xdr:col>
      <xdr:colOff>1455420</xdr:colOff>
      <xdr:row>21</xdr:row>
      <xdr:rowOff>181930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ADFECE4-A396-49BD-95F8-FBE779A2A996}"/>
            </a:ext>
          </a:extLst>
        </xdr:cNvPr>
        <xdr:cNvSpPr/>
      </xdr:nvSpPr>
      <xdr:spPr>
        <a:xfrm>
          <a:off x="845820" y="3740470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baseline="0">
              <a:solidFill>
                <a:schemeClr val="tx1"/>
              </a:solidFill>
            </a:rPr>
            <a:t>Inventory</a:t>
          </a:r>
        </a:p>
      </xdr:txBody>
    </xdr:sp>
    <xdr:clientData/>
  </xdr:twoCellAnchor>
  <xdr:twoCellAnchor>
    <xdr:from>
      <xdr:col>1</xdr:col>
      <xdr:colOff>525780</xdr:colOff>
      <xdr:row>22</xdr:row>
      <xdr:rowOff>38100</xdr:rowOff>
    </xdr:from>
    <xdr:to>
      <xdr:col>1</xdr:col>
      <xdr:colOff>1455420</xdr:colOff>
      <xdr:row>23</xdr:row>
      <xdr:rowOff>137160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3DE3372-F719-4924-9F46-4329BD0E068A}"/>
            </a:ext>
          </a:extLst>
        </xdr:cNvPr>
        <xdr:cNvSpPr/>
      </xdr:nvSpPr>
      <xdr:spPr>
        <a:xfrm>
          <a:off x="845820" y="4061460"/>
          <a:ext cx="9296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N" sz="1200" b="1" baseline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152400</xdr:colOff>
      <xdr:row>8</xdr:row>
      <xdr:rowOff>22860</xdr:rowOff>
    </xdr:from>
    <xdr:to>
      <xdr:col>1</xdr:col>
      <xdr:colOff>457200</xdr:colOff>
      <xdr:row>9</xdr:row>
      <xdr:rowOff>129540</xdr:rowOff>
    </xdr:to>
    <xdr:pic>
      <xdr:nvPicPr>
        <xdr:cNvPr id="13" name="Graphic 12" descr="Clipboard Partially Crossed outline">
          <a:extLst>
            <a:ext uri="{FF2B5EF4-FFF2-40B4-BE49-F238E27FC236}">
              <a16:creationId xmlns:a16="http://schemas.microsoft.com/office/drawing/2014/main" id="{A1F20875-A460-42D0-8363-8B6055C31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72440" y="1485900"/>
          <a:ext cx="304800" cy="289560"/>
        </a:xfrm>
        <a:prstGeom prst="rect">
          <a:avLst/>
        </a:prstGeom>
      </xdr:spPr>
    </xdr:pic>
    <xdr:clientData/>
  </xdr:twoCellAnchor>
  <xdr:twoCellAnchor editAs="oneCell">
    <xdr:from>
      <xdr:col>1</xdr:col>
      <xdr:colOff>144780</xdr:colOff>
      <xdr:row>9</xdr:row>
      <xdr:rowOff>152400</xdr:rowOff>
    </xdr:from>
    <xdr:to>
      <xdr:col>1</xdr:col>
      <xdr:colOff>502920</xdr:colOff>
      <xdr:row>11</xdr:row>
      <xdr:rowOff>91440</xdr:rowOff>
    </xdr:to>
    <xdr:pic>
      <xdr:nvPicPr>
        <xdr:cNvPr id="14" name="Graphic 13" descr="User outline">
          <a:extLst>
            <a:ext uri="{FF2B5EF4-FFF2-40B4-BE49-F238E27FC236}">
              <a16:creationId xmlns:a16="http://schemas.microsoft.com/office/drawing/2014/main" id="{F0E691B9-A1C6-4ECF-A9A0-92D4B66F7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64820" y="1798320"/>
          <a:ext cx="35814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11</xdr:row>
      <xdr:rowOff>114300</xdr:rowOff>
    </xdr:from>
    <xdr:to>
      <xdr:col>1</xdr:col>
      <xdr:colOff>495300</xdr:colOff>
      <xdr:row>13</xdr:row>
      <xdr:rowOff>76200</xdr:rowOff>
    </xdr:to>
    <xdr:pic>
      <xdr:nvPicPr>
        <xdr:cNvPr id="15" name="Graphic 14" descr="Continuous Improvement outline">
          <a:extLst>
            <a:ext uri="{FF2B5EF4-FFF2-40B4-BE49-F238E27FC236}">
              <a16:creationId xmlns:a16="http://schemas.microsoft.com/office/drawing/2014/main" id="{3F91AA79-EB47-450B-B49C-671670094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72440" y="2125980"/>
          <a:ext cx="342900" cy="32766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18</xdr:row>
      <xdr:rowOff>121920</xdr:rowOff>
    </xdr:from>
    <xdr:to>
      <xdr:col>1</xdr:col>
      <xdr:colOff>449580</xdr:colOff>
      <xdr:row>20</xdr:row>
      <xdr:rowOff>7620</xdr:rowOff>
    </xdr:to>
    <xdr:pic>
      <xdr:nvPicPr>
        <xdr:cNvPr id="16" name="Graphic 15" descr="Kiosk outline">
          <a:extLst>
            <a:ext uri="{FF2B5EF4-FFF2-40B4-BE49-F238E27FC236}">
              <a16:creationId xmlns:a16="http://schemas.microsoft.com/office/drawing/2014/main" id="{43495668-D4E1-4581-9643-0F130D8BB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72440" y="3413760"/>
          <a:ext cx="297180" cy="25146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15</xdr:row>
      <xdr:rowOff>7620</xdr:rowOff>
    </xdr:from>
    <xdr:to>
      <xdr:col>1</xdr:col>
      <xdr:colOff>464820</xdr:colOff>
      <xdr:row>16</xdr:row>
      <xdr:rowOff>137160</xdr:rowOff>
    </xdr:to>
    <xdr:pic>
      <xdr:nvPicPr>
        <xdr:cNvPr id="17" name="Graphic 16" descr="Ticket outline">
          <a:extLst>
            <a:ext uri="{FF2B5EF4-FFF2-40B4-BE49-F238E27FC236}">
              <a16:creationId xmlns:a16="http://schemas.microsoft.com/office/drawing/2014/main" id="{BBE775F7-65B8-41BC-8357-4A8BCC2CF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72440" y="2750820"/>
          <a:ext cx="312420" cy="3124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16</xdr:row>
      <xdr:rowOff>121920</xdr:rowOff>
    </xdr:from>
    <xdr:to>
      <xdr:col>1</xdr:col>
      <xdr:colOff>525780</xdr:colOff>
      <xdr:row>18</xdr:row>
      <xdr:rowOff>76200</xdr:rowOff>
    </xdr:to>
    <xdr:pic>
      <xdr:nvPicPr>
        <xdr:cNvPr id="18" name="Graphic 17" descr="Shopping bag outline">
          <a:extLst>
            <a:ext uri="{FF2B5EF4-FFF2-40B4-BE49-F238E27FC236}">
              <a16:creationId xmlns:a16="http://schemas.microsoft.com/office/drawing/2014/main" id="{7F5E543A-8A53-4664-9FC8-D96EC0DBC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72440" y="3048000"/>
          <a:ext cx="373380" cy="32004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13</xdr:row>
      <xdr:rowOff>91440</xdr:rowOff>
    </xdr:from>
    <xdr:to>
      <xdr:col>1</xdr:col>
      <xdr:colOff>495300</xdr:colOff>
      <xdr:row>15</xdr:row>
      <xdr:rowOff>0</xdr:rowOff>
    </xdr:to>
    <xdr:pic>
      <xdr:nvPicPr>
        <xdr:cNvPr id="19" name="Graphic 18" descr="For Sale outline">
          <a:extLst>
            <a:ext uri="{FF2B5EF4-FFF2-40B4-BE49-F238E27FC236}">
              <a16:creationId xmlns:a16="http://schemas.microsoft.com/office/drawing/2014/main" id="{1DC0B607-25DF-4FC4-9D01-02C05D1B1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72440" y="2468880"/>
          <a:ext cx="34290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20</xdr:row>
      <xdr:rowOff>60960</xdr:rowOff>
    </xdr:from>
    <xdr:to>
      <xdr:col>1</xdr:col>
      <xdr:colOff>480060</xdr:colOff>
      <xdr:row>21</xdr:row>
      <xdr:rowOff>152400</xdr:rowOff>
    </xdr:to>
    <xdr:pic>
      <xdr:nvPicPr>
        <xdr:cNvPr id="20" name="Graphic 19" descr="Inventory outline">
          <a:extLst>
            <a:ext uri="{FF2B5EF4-FFF2-40B4-BE49-F238E27FC236}">
              <a16:creationId xmlns:a16="http://schemas.microsoft.com/office/drawing/2014/main" id="{552471AC-2977-4C78-9BCA-088DD9FCB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72440" y="3718560"/>
          <a:ext cx="327660" cy="274320"/>
        </a:xfrm>
        <a:prstGeom prst="rect">
          <a:avLst/>
        </a:prstGeom>
      </xdr:spPr>
    </xdr:pic>
    <xdr:clientData/>
  </xdr:twoCellAnchor>
  <xdr:twoCellAnchor editAs="absolute">
    <xdr:from>
      <xdr:col>3</xdr:col>
      <xdr:colOff>15240</xdr:colOff>
      <xdr:row>1</xdr:row>
      <xdr:rowOff>7620</xdr:rowOff>
    </xdr:from>
    <xdr:to>
      <xdr:col>15</xdr:col>
      <xdr:colOff>533862</xdr:colOff>
      <xdr:row>3</xdr:row>
      <xdr:rowOff>137160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38697764-CBD9-44E6-8E20-E0270ABA82AF}"/>
            </a:ext>
          </a:extLst>
        </xdr:cNvPr>
        <xdr:cNvSpPr/>
      </xdr:nvSpPr>
      <xdr:spPr>
        <a:xfrm>
          <a:off x="2331720" y="190500"/>
          <a:ext cx="7901940" cy="4953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3200" b="1">
              <a:solidFill>
                <a:schemeClr val="tx1"/>
              </a:solidFill>
            </a:rPr>
            <a:t>   Inventory Management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 Bahadur" refreshedDate="46195.816980555559" createdVersion="8" refreshedVersion="8" minRefreshableVersion="3" recordCount="10" xr:uid="{3F326242-48B5-4511-B0D8-271700E50196}">
  <cacheSource type="worksheet">
    <worksheetSource name="productsdata"/>
  </cacheSource>
  <cacheFields count="4">
    <cacheField name="HSN Code" numFmtId="0">
      <sharedItems/>
    </cacheField>
    <cacheField name="Product Name" numFmtId="0">
      <sharedItems/>
    </cacheField>
    <cacheField name="Cost" numFmtId="0">
      <sharedItems containsSemiMixedTypes="0" containsString="0" containsNumber="1" containsInteger="1" minValue="200" maxValue="52000"/>
    </cacheField>
    <cacheField name="Selling Price" numFmtId="0">
      <sharedItems containsSemiMixedTypes="0" containsString="0" containsNumber="1" minValue="240" maxValue="62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 Bahadur" refreshedDate="46195.817972106481" createdVersion="8" refreshedVersion="8" minRefreshableVersion="3" recordCount="12" xr:uid="{A8CC50AB-1DC7-46E9-B3B1-27D94B0D0363}">
  <cacheSource type="worksheet">
    <worksheetSource name="purchasedata"/>
  </cacheSource>
  <cacheFields count="7">
    <cacheField name="HSN Code" numFmtId="0">
      <sharedItems containsBlank="1"/>
    </cacheField>
    <cacheField name="Product Name" numFmtId="0">
      <sharedItems/>
    </cacheField>
    <cacheField name="Vendor" numFmtId="0">
      <sharedItems/>
    </cacheField>
    <cacheField name="Date" numFmtId="0">
      <sharedItems containsNonDate="0" containsDate="1" containsString="0" containsBlank="1" minDate="2000-01-01T00:00:00" maxDate="2000-01-11T00:00:00"/>
    </cacheField>
    <cacheField name="Units" numFmtId="0">
      <sharedItems containsString="0" containsBlank="1" containsNumber="1" containsInteger="1" minValue="10" maxValue="60"/>
    </cacheField>
    <cacheField name="Cost" numFmtId="0">
      <sharedItems containsMixedTypes="1" containsNumber="1" containsInteger="1" minValue="200" maxValue="52000"/>
    </cacheField>
    <cacheField name="Amount" numFmtId="0">
      <sharedItems containsMixedTypes="1" containsNumber="1" containsInteger="1" minValue="5100" maxValue="69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 Bahadur" refreshedDate="46195.820081712962" createdVersion="8" refreshedVersion="8" minRefreshableVersion="3" recordCount="12" xr:uid="{3A6F150A-C079-4279-AE1C-C6C7D44F7755}">
  <cacheSource type="worksheet">
    <worksheetSource name="salesdata"/>
  </cacheSource>
  <cacheFields count="9">
    <cacheField name="Cust_ID" numFmtId="0">
      <sharedItems containsSemiMixedTypes="0" containsString="0" containsNumber="1" containsInteger="1" minValue="100" maxValue="106"/>
    </cacheField>
    <cacheField name="Cust_Name" numFmtId="0">
      <sharedItems count="7">
        <s v=" Atul Ltd."/>
        <s v="MK Tech."/>
        <s v="99Store"/>
        <s v="Rajesh Kumar"/>
        <s v="Jain Tel."/>
        <s v="Ram Sales"/>
        <s v="Amit"/>
      </sharedItems>
    </cacheField>
    <cacheField name="HSN Code" numFmtId="0">
      <sharedItems/>
    </cacheField>
    <cacheField name="Product Name" numFmtId="0">
      <sharedItems/>
    </cacheField>
    <cacheField name="Date" numFmtId="14">
      <sharedItems containsSemiMixedTypes="0" containsNonDate="0" containsDate="1" containsString="0" minDate="2002-01-01T00:00:00" maxDate="2002-01-15T00:00:00"/>
    </cacheField>
    <cacheField name="Stock(Units)" numFmtId="0">
      <sharedItems containsSemiMixedTypes="0" containsString="0" containsNumber="1" containsInteger="1" minValue="0" maxValue="25"/>
    </cacheField>
    <cacheField name="Units" numFmtId="0">
      <sharedItems containsString="0" containsBlank="1" containsNumber="1" containsInteger="1" minValue="2" maxValue="20"/>
    </cacheField>
    <cacheField name="Price" numFmtId="0">
      <sharedItems containsSemiMixedTypes="0" containsString="0" containsNumber="1" minValue="240" maxValue="62400"/>
    </cacheField>
    <cacheField name="Amount" numFmtId="0">
      <sharedItems containsSemiMixedTypes="0" containsString="0" containsNumber="1" containsInteger="1" minValue="0" maxValue="28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 Bahadur" refreshedDate="46195.904347916665" createdVersion="8" refreshedVersion="8" minRefreshableVersion="3" recordCount="14" xr:uid="{14769F49-501B-49EA-B113-45D8C56A3A00}">
  <cacheSource type="worksheet">
    <worksheetSource name="Table6"/>
  </cacheSource>
  <cacheFields count="7">
    <cacheField name="HSN Code" numFmtId="0">
      <sharedItems/>
    </cacheField>
    <cacheField name="ProductName" numFmtId="0">
      <sharedItems count="11">
        <s v="Smart Watch"/>
        <s v="Laptop HP xyz i5"/>
        <s v="Wireless Printer"/>
        <s v="Desktop"/>
        <s v="Mouse"/>
        <s v="Rgb Keyboard"/>
        <s v="Camera "/>
        <s v="Headphones"/>
        <s v="Speakers"/>
        <s v="Tablets"/>
        <s v=""/>
      </sharedItems>
    </cacheField>
    <cacheField name="Cost" numFmtId="0">
      <sharedItems containsMixedTypes="1" containsNumber="1" containsInteger="1" minValue="200" maxValue="52000"/>
    </cacheField>
    <cacheField name="P Units" numFmtId="0">
      <sharedItems containsSemiMixedTypes="0" containsString="0" containsNumber="1" containsInteger="1" minValue="0" maxValue="60"/>
    </cacheField>
    <cacheField name="S Units" numFmtId="0">
      <sharedItems containsSemiMixedTypes="0" containsString="0" containsNumber="1" containsInteger="1" minValue="0" maxValue="35"/>
    </cacheField>
    <cacheField name="Stock" numFmtId="0">
      <sharedItems containsSemiMixedTypes="0" containsString="0" containsNumber="1" containsInteger="1" minValue="0" maxValue="25"/>
    </cacheField>
    <cacheField name="Stock Amt" numFmtId="0">
      <sharedItems containsMixedTypes="1" containsNumber="1" containsInteger="1" minValue="0" maxValue="862500" count="10">
        <n v="0"/>
        <n v="862500"/>
        <n v="231000"/>
        <n v="5000"/>
        <n v="5100"/>
        <n v="520000"/>
        <n v="11985"/>
        <n v="16750"/>
        <n v="46000"/>
        <s v="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 Bahadur" refreshedDate="46195.989222453703" createdVersion="8" refreshedVersion="8" minRefreshableVersion="3" recordCount="8" xr:uid="{E7AF5947-768C-457F-A07B-0EEDE1B8FD98}">
  <cacheSource type="worksheet">
    <worksheetSource name="customersdata"/>
  </cacheSource>
  <cacheFields count="4">
    <cacheField name="Cust_ID" numFmtId="0">
      <sharedItems containsSemiMixedTypes="0" containsString="0" containsNumber="1" containsInteger="1" minValue="100" maxValue="107"/>
    </cacheField>
    <cacheField name="Name" numFmtId="0">
      <sharedItems/>
    </cacheField>
    <cacheField name="Email" numFmtId="0">
      <sharedItems/>
    </cacheField>
    <cacheField name="Addre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N1001"/>
    <s v="Smart Watch"/>
    <n v="980"/>
    <n v="1176"/>
  </r>
  <r>
    <s v="N1002"/>
    <s v="Laptop HP xyz i5"/>
    <n v="34500"/>
    <n v="41400"/>
  </r>
  <r>
    <s v="N1003"/>
    <s v="Wireless Printer"/>
    <n v="4600"/>
    <n v="5520"/>
  </r>
  <r>
    <s v="N1004"/>
    <s v="Desktop"/>
    <n v="21000"/>
    <n v="25200"/>
  </r>
  <r>
    <s v="N1005"/>
    <s v="Mouse"/>
    <n v="200"/>
    <n v="240"/>
  </r>
  <r>
    <s v="N1006"/>
    <s v="Rgb Keyboard"/>
    <n v="340"/>
    <n v="408"/>
  </r>
  <r>
    <s v="N1007"/>
    <s v="Camera "/>
    <n v="52000"/>
    <n v="62400"/>
  </r>
  <r>
    <s v="N1008"/>
    <s v="Headphones"/>
    <n v="799"/>
    <n v="958.8"/>
  </r>
  <r>
    <s v="N1009"/>
    <s v="Speakers"/>
    <n v="670"/>
    <n v="804"/>
  </r>
  <r>
    <s v="N1010"/>
    <s v="Tablets"/>
    <n v="23000"/>
    <n v="282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N1002"/>
    <s v="Laptop HP xyz i5"/>
    <s v="Tech99"/>
    <d v="2000-01-01T00:00:00"/>
    <n v="10"/>
    <n v="34500"/>
    <n v="345000"/>
  </r>
  <r>
    <s v="N1003"/>
    <s v="Wireless Printer"/>
    <s v="Tech99"/>
    <d v="2000-01-02T00:00:00"/>
    <n v="10"/>
    <n v="4600"/>
    <n v="46000"/>
  </r>
  <r>
    <s v="N1002"/>
    <s v="Laptop HP xyz i5"/>
    <s v="Tech99"/>
    <d v="2000-01-03T00:00:00"/>
    <n v="20"/>
    <n v="34500"/>
    <n v="690000"/>
  </r>
  <r>
    <s v="N1008"/>
    <s v="Headphones"/>
    <s v="Compac"/>
    <d v="2000-01-04T00:00:00"/>
    <n v="20"/>
    <n v="799"/>
    <n v="15980"/>
  </r>
  <r>
    <s v="N1010"/>
    <s v="Tablets"/>
    <s v="Compac"/>
    <d v="2000-01-05T00:00:00"/>
    <n v="12"/>
    <n v="23000"/>
    <n v="276000"/>
  </r>
  <r>
    <s v="N1006"/>
    <s v="Rgb Keyboard"/>
    <s v="GG Traders"/>
    <d v="2000-01-06T00:00:00"/>
    <n v="15"/>
    <n v="340"/>
    <n v="5100"/>
  </r>
  <r>
    <s v="N1007"/>
    <s v="Camera "/>
    <s v="GG Traders"/>
    <d v="2000-01-07T00:00:00"/>
    <n v="12"/>
    <n v="52000"/>
    <n v="624000"/>
  </r>
  <r>
    <s v="N1005"/>
    <s v="Mouse"/>
    <s v="GG Traders"/>
    <d v="2000-01-08T00:00:00"/>
    <n v="60"/>
    <n v="200"/>
    <n v="12000"/>
  </r>
  <r>
    <s v="N1009"/>
    <s v="Speakers"/>
    <s v="Compac"/>
    <d v="2000-01-09T00:00:00"/>
    <n v="25"/>
    <n v="670"/>
    <n v="16750"/>
  </r>
  <r>
    <s v="N1004"/>
    <s v="Desktop"/>
    <s v="GG Traders"/>
    <d v="2000-01-10T00:00:00"/>
    <n v="15"/>
    <n v="21000"/>
    <n v="315000"/>
  </r>
  <r>
    <m/>
    <s v=""/>
    <s v=""/>
    <m/>
    <m/>
    <s v=""/>
    <s v=""/>
  </r>
  <r>
    <m/>
    <s v=""/>
    <s v=""/>
    <m/>
    <m/>
    <s v=""/>
    <s v="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01"/>
    <x v="0"/>
    <s v="N1001"/>
    <s v="Smart Watch"/>
    <d v="2002-01-01T00:00:00"/>
    <n v="0"/>
    <m/>
    <n v="1176"/>
    <n v="0"/>
  </r>
  <r>
    <n v="102"/>
    <x v="1"/>
    <s v="N1002"/>
    <s v="Laptop HP xyz i5"/>
    <d v="2002-01-02T00:00:00"/>
    <n v="25"/>
    <n v="5"/>
    <n v="41400"/>
    <n v="207000"/>
  </r>
  <r>
    <n v="103"/>
    <x v="2"/>
    <s v="N1004"/>
    <s v="Desktop"/>
    <d v="2002-01-03T00:00:00"/>
    <n v="11"/>
    <n v="2"/>
    <n v="25200"/>
    <n v="50400"/>
  </r>
  <r>
    <n v="103"/>
    <x v="2"/>
    <s v="N1001"/>
    <s v="Smart Watch"/>
    <d v="2002-01-04T00:00:00"/>
    <n v="0"/>
    <m/>
    <n v="1176"/>
    <n v="0"/>
  </r>
  <r>
    <n v="104"/>
    <x v="3"/>
    <s v="N1005"/>
    <s v="Mouse"/>
    <d v="2002-01-05T00:00:00"/>
    <n v="25"/>
    <n v="15"/>
    <n v="240"/>
    <n v="3600"/>
  </r>
  <r>
    <n v="106"/>
    <x v="4"/>
    <s v="N1008"/>
    <s v="Headphones"/>
    <d v="2002-01-07T00:00:00"/>
    <n v="15"/>
    <n v="5"/>
    <n v="958.8"/>
    <n v="4794"/>
  </r>
  <r>
    <n v="101"/>
    <x v="0"/>
    <s v="N1010"/>
    <s v="Tablets"/>
    <d v="2002-01-08T00:00:00"/>
    <n v="2"/>
    <n v="10"/>
    <n v="28200"/>
    <n v="282000"/>
  </r>
  <r>
    <n v="100"/>
    <x v="5"/>
    <s v="N1007"/>
    <s v="Camera "/>
    <d v="2002-01-09T00:00:00"/>
    <n v="10"/>
    <n v="2"/>
    <n v="62400"/>
    <n v="124800"/>
  </r>
  <r>
    <n v="105"/>
    <x v="6"/>
    <s v="N1005"/>
    <s v="Mouse"/>
    <d v="2002-01-10T00:00:00"/>
    <n v="25"/>
    <n v="20"/>
    <n v="240"/>
    <n v="4800"/>
  </r>
  <r>
    <n v="106"/>
    <x v="4"/>
    <s v="N1004"/>
    <s v="Desktop"/>
    <d v="2002-01-11T00:00:00"/>
    <n v="11"/>
    <n v="2"/>
    <n v="25200"/>
    <n v="50400"/>
  </r>
  <r>
    <n v="101"/>
    <x v="0"/>
    <s v="N1006"/>
    <s v="Rgb Keyboard"/>
    <d v="2002-01-13T00:00:00"/>
    <n v="15"/>
    <m/>
    <n v="408"/>
    <n v="0"/>
  </r>
  <r>
    <n v="101"/>
    <x v="0"/>
    <s v="N1003"/>
    <s v="Wireless Printer"/>
    <d v="2002-01-14T00:00:00"/>
    <n v="0"/>
    <n v="10"/>
    <n v="5520"/>
    <n v="552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N1001"/>
    <x v="0"/>
    <n v="980"/>
    <n v="0"/>
    <n v="0"/>
    <n v="0"/>
    <x v="0"/>
  </r>
  <r>
    <s v="N1002"/>
    <x v="1"/>
    <n v="34500"/>
    <n v="30"/>
    <n v="5"/>
    <n v="25"/>
    <x v="1"/>
  </r>
  <r>
    <s v="N1003"/>
    <x v="2"/>
    <n v="4600"/>
    <n v="10"/>
    <n v="10"/>
    <n v="0"/>
    <x v="0"/>
  </r>
  <r>
    <s v="N1004"/>
    <x v="3"/>
    <n v="21000"/>
    <n v="15"/>
    <n v="4"/>
    <n v="11"/>
    <x v="2"/>
  </r>
  <r>
    <s v="N1005"/>
    <x v="4"/>
    <n v="200"/>
    <n v="60"/>
    <n v="35"/>
    <n v="25"/>
    <x v="3"/>
  </r>
  <r>
    <s v="N1006"/>
    <x v="5"/>
    <n v="340"/>
    <n v="15"/>
    <n v="0"/>
    <n v="15"/>
    <x v="4"/>
  </r>
  <r>
    <s v="N1007"/>
    <x v="6"/>
    <n v="52000"/>
    <n v="12"/>
    <n v="2"/>
    <n v="10"/>
    <x v="5"/>
  </r>
  <r>
    <s v="N1008"/>
    <x v="7"/>
    <n v="799"/>
    <n v="20"/>
    <n v="5"/>
    <n v="15"/>
    <x v="6"/>
  </r>
  <r>
    <s v="N1009"/>
    <x v="8"/>
    <n v="670"/>
    <n v="25"/>
    <n v="0"/>
    <n v="25"/>
    <x v="7"/>
  </r>
  <r>
    <s v="N1010"/>
    <x v="9"/>
    <n v="23000"/>
    <n v="12"/>
    <n v="10"/>
    <n v="2"/>
    <x v="8"/>
  </r>
  <r>
    <s v=""/>
    <x v="10"/>
    <s v=""/>
    <n v="0"/>
    <n v="0"/>
    <n v="0"/>
    <x v="9"/>
  </r>
  <r>
    <s v=""/>
    <x v="10"/>
    <s v=""/>
    <n v="0"/>
    <n v="0"/>
    <n v="0"/>
    <x v="9"/>
  </r>
  <r>
    <s v=""/>
    <x v="10"/>
    <s v=""/>
    <n v="0"/>
    <n v="0"/>
    <n v="0"/>
    <x v="9"/>
  </r>
  <r>
    <s v=""/>
    <x v="10"/>
    <s v=""/>
    <n v="0"/>
    <n v="0"/>
    <n v="0"/>
    <x v="9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00"/>
    <s v="Ram Sales"/>
    <s v="Ram@gmail.com"/>
    <s v="Delhi, India"/>
  </r>
  <r>
    <n v="101"/>
    <s v=" Atul Ltd."/>
    <s v="Atu@gmail.com"/>
    <s v="121102,Palwal,HR"/>
  </r>
  <r>
    <n v="102"/>
    <s v="MK Tech."/>
    <s v="MK @gmail.com"/>
    <s v="Faridabad, 121101"/>
  </r>
  <r>
    <n v="103"/>
    <s v="99Store"/>
    <s v="99s@gmail.com"/>
    <s v="Agra, UP"/>
  </r>
  <r>
    <n v="104"/>
    <s v="Rajesh Kumar"/>
    <s v="Raj@gmail.com"/>
    <s v="New Delhi, 110011"/>
  </r>
  <r>
    <n v="105"/>
    <s v="Amit"/>
    <s v="Amit@gmail.com"/>
    <s v="Gurgaon, Sec-15"/>
  </r>
  <r>
    <n v="106"/>
    <s v="Jain Tel."/>
    <s v="Jai@gmail.com"/>
    <s v="Janpath, New Delhi"/>
  </r>
  <r>
    <n v="107"/>
    <s v="shiv"/>
    <s v="shiv@gmail.com"/>
    <s v="noid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F76B13-1444-4933-A8A1-F3C4201104F3}" name="PivotTable9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0:B31" firstHeaderRow="1" firstDataRow="1" firstDataCol="1"/>
  <pivotFields count="7">
    <pivotField showAll="0"/>
    <pivotField axis="axisRow" showAll="0">
      <items count="12">
        <item h="1" x="10"/>
        <item x="6"/>
        <item x="3"/>
        <item x="7"/>
        <item x="1"/>
        <item x="4"/>
        <item x="5"/>
        <item x="0"/>
        <item x="8"/>
        <item x="9"/>
        <item x="2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Stock" fld="5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2004D8-2E4B-4465-93A1-6292F832A59D}" name="PivotTable8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F11:G17" firstHeaderRow="1" firstDataRow="1" firstDataCol="1"/>
  <pivotFields count="9">
    <pivotField showAll="0"/>
    <pivotField axis="axisRow" showAll="0" measureFilter="1" sortType="descending">
      <items count="8">
        <item x="0"/>
        <item x="2"/>
        <item x="6"/>
        <item x="4"/>
        <item x="1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showAll="0"/>
    <pivotField showAll="0"/>
    <pivotField showAll="0"/>
    <pivotField dataField="1" showAll="0"/>
  </pivotFields>
  <rowFields count="1">
    <field x="1"/>
  </rowFields>
  <rowItems count="6">
    <i>
      <x/>
    </i>
    <i>
      <x v="4"/>
    </i>
    <i>
      <x v="6"/>
    </i>
    <i>
      <x v="3"/>
    </i>
    <i>
      <x v="1"/>
    </i>
    <i t="grand">
      <x/>
    </i>
  </rowItems>
  <colItems count="1">
    <i/>
  </colItems>
  <dataFields count="1">
    <dataField name="Sum of Amount" fld="8" baseField="0" baseItem="0"/>
  </dataFields>
  <chartFormats count="2"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09E49D-7A04-456C-B284-9C41E892EB20}" name="PivotTable7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F2:G8" firstHeaderRow="1" firstDataRow="1" firstDataCol="1"/>
  <pivotFields count="7">
    <pivotField showAll="0"/>
    <pivotField axis="axisRow" showAll="0" measureFilter="1" sortType="descending">
      <items count="12">
        <item x="2"/>
        <item x="9"/>
        <item x="8"/>
        <item x="0"/>
        <item x="5"/>
        <item x="4"/>
        <item x="1"/>
        <item x="7"/>
        <item x="3"/>
        <item x="6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>
      <items count="11">
        <item x="0"/>
        <item x="3"/>
        <item x="4"/>
        <item x="6"/>
        <item x="7"/>
        <item x="8"/>
        <item x="2"/>
        <item x="5"/>
        <item x="1"/>
        <item x="9"/>
        <item t="default"/>
      </items>
    </pivotField>
  </pivotFields>
  <rowFields count="1">
    <field x="1"/>
  </rowFields>
  <rowItems count="6">
    <i>
      <x v="5"/>
    </i>
    <i>
      <x v="1"/>
    </i>
    <i>
      <x/>
    </i>
    <i>
      <x v="7"/>
    </i>
    <i>
      <x v="6"/>
    </i>
    <i t="grand">
      <x/>
    </i>
  </rowItems>
  <colItems count="1">
    <i/>
  </colItems>
  <dataFields count="1">
    <dataField name="Sum of S Units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B541C-F8F4-47EA-93C5-24B45A7604E8}" name="PivotTable6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A15" firstHeaderRow="1" firstDataRow="1" firstDataCol="0"/>
  <pivotFields count="7"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Stock Am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0F0D77-4E86-4733-8425-C32039809112}" name="PivotTable4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A12" firstHeaderRow="1" firstDataRow="1" firstDataCol="0"/>
  <pivotFields count="9">
    <pivotField showAll="0"/>
    <pivotField showAll="0"/>
    <pivotField showAll="0"/>
    <pivotField showAll="0"/>
    <pivotField numFmtId="14"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0BBA73-0718-4B1C-8C6E-119C600628A6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A9" firstHeaderRow="1" firstDataRow="1" firstDataCol="0"/>
  <pivotFields count="7"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69306A-C31E-4FEA-A9A9-6C03ECE9C762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A6" firstHeaderRow="1" firstDataRow="1" firstDataCol="0"/>
  <pivotFields count="4"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Count of Product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0C1F3E-BB28-44B9-9535-DA81BB028898}" name="PivotTable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A3" firstHeaderRow="1" firstDataRow="1" firstDataCol="0"/>
  <pivotFields count="4"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Count of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63B171-AEC5-46EA-B942-276E5AC0419B}" name="customersdata" displayName="customersdata" ref="D7:G15" totalsRowShown="0" headerRowDxfId="43">
  <autoFilter ref="D7:G15" xr:uid="{9D63B171-AEC5-46EA-B942-276E5AC0419B}"/>
  <tableColumns count="4">
    <tableColumn id="1" xr3:uid="{E676B10F-BC7B-4602-81E5-AFF28CDB9217}" name="Cust_ID" dataDxfId="47"/>
    <tableColumn id="2" xr3:uid="{C97F8361-AB04-4A51-BE2D-9EE328A9B1BE}" name="Name" dataDxfId="46"/>
    <tableColumn id="3" xr3:uid="{77AFFC5C-C71D-4E71-B8BE-1761FCE5D67B}" name="Email" dataDxfId="45" dataCellStyle="Hyperlink"/>
    <tableColumn id="4" xr3:uid="{398CB52F-87FE-464C-879F-D0F4D30CD915}" name="Address" dataDxfId="4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C05B72-04D7-4018-B4A7-F2098FCB75D9}" name="productsdata" displayName="productsdata" ref="D6:G16" totalsRowShown="0" headerRowDxfId="37" dataDxfId="38">
  <autoFilter ref="D6:G16" xr:uid="{EEC05B72-04D7-4018-B4A7-F2098FCB75D9}"/>
  <tableColumns count="4">
    <tableColumn id="1" xr3:uid="{3993465D-E207-4D0B-B0BF-AF8030BCAF82}" name="HSN Code" dataDxfId="42"/>
    <tableColumn id="2" xr3:uid="{C77A361E-5140-4BDF-BE69-0AD0AE59B797}" name="Product Name" dataDxfId="41"/>
    <tableColumn id="3" xr3:uid="{A5645B1E-33C4-463B-B212-1DC442B454E9}" name="Cost" dataDxfId="40"/>
    <tableColumn id="4" xr3:uid="{A1E132AD-41AC-47FF-84FD-39B34506B7DC}" name="Selling Price" dataDxfId="39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ED5A2B-948B-477F-827A-9172543F8D87}" name="vendorsdata" displayName="vendorsdata" ref="D6:H16" totalsRowShown="0" headerRowDxfId="30" dataDxfId="31">
  <autoFilter ref="D6:H16" xr:uid="{9CED5A2B-948B-477F-827A-9172543F8D87}"/>
  <tableColumns count="5">
    <tableColumn id="1" xr3:uid="{12D88F17-7792-4C8F-B3D5-3699DEA8C74C}" name="HSN Code" dataDxfId="36"/>
    <tableColumn id="2" xr3:uid="{130A8001-3FD8-4A46-8E9F-6A1896AA5F9E}" name="Product Name" dataDxfId="35"/>
    <tableColumn id="3" xr3:uid="{3C08DD93-1CF3-4306-9588-ED6046C1B5BB}" name="Vendor Name" dataDxfId="34"/>
    <tableColumn id="4" xr3:uid="{BE6DACA5-3A3F-42BB-A257-18FA28A85364}" name="Phone" dataDxfId="33"/>
    <tableColumn id="5" xr3:uid="{D2744620-4178-481F-B925-0C1BDD68E4D8}" name="Address" dataDxfId="3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B8A090-4C36-4271-8FB2-4AC30C52318F}" name="purchasedata" displayName="purchasedata" ref="D6:J18" totalsRowShown="0" headerRowDxfId="25" dataDxfId="26">
  <autoFilter ref="D6:J18" xr:uid="{79B8A090-4C36-4271-8FB2-4AC30C52318F}"/>
  <tableColumns count="7">
    <tableColumn id="1" xr3:uid="{D82F2F79-C7E8-4833-8417-2F8F185DE82D}" name="HSN Code" dataDxfId="29"/>
    <tableColumn id="2" xr3:uid="{45AF6E14-4A57-4D88-8F90-E9698919623B}" name="Product Name" dataDxfId="24">
      <calculatedColumnFormula>IFERROR(VLOOKUP(purchasedata[[#This Row],[HSN Code]],productsdata[#All],2,0),"")</calculatedColumnFormula>
    </tableColumn>
    <tableColumn id="3" xr3:uid="{A2C63535-B6D5-4A88-A1DD-320F2F78E08A}" name="Vendor" dataDxfId="22">
      <calculatedColumnFormula>IFERROR(VLOOKUP(purchasedata[[#This Row],[HSN Code]],vendorsdata[#All],3,0),"")</calculatedColumnFormula>
    </tableColumn>
    <tableColumn id="4" xr3:uid="{46CF55E5-B718-47C2-B093-B44C5143F53A}" name="Date" dataDxfId="28"/>
    <tableColumn id="5" xr3:uid="{26297A06-82F6-48E2-91DF-2E33FDE9273E}" name="Units" dataDxfId="27"/>
    <tableColumn id="6" xr3:uid="{5FB5BA7C-3D3E-4420-9D0B-8AF084AD6689}" name="Cost" dataDxfId="23">
      <calculatedColumnFormula>IFERROR(VLOOKUP(purchasedata[[#This Row],[HSN Code]],productsdata[#All],3,0),"")</calculatedColumnFormula>
    </tableColumn>
    <tableColumn id="7" xr3:uid="{939DACC3-2C34-419A-9176-063E5021ADD7}" name="Amount" dataDxfId="21">
      <calculatedColumnFormula>IFERROR(purchasedata[[#This Row],[Units]]*purchasedata[[#This Row],[Cost]],"")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2B94AB-AE95-4C30-8E47-91D7818BEB5A}" name="salesdata" displayName="salesdata" ref="D6:L18" totalsRowShown="0" headerRowDxfId="16" dataDxfId="17">
  <autoFilter ref="D6:L18" xr:uid="{5E2B94AB-AE95-4C30-8E47-91D7818BEB5A}"/>
  <tableColumns count="9">
    <tableColumn id="1" xr3:uid="{62B5C960-EEEA-4D82-9DC1-8CF8817DE18C}" name="Cust_ID" dataDxfId="11"/>
    <tableColumn id="2" xr3:uid="{DCFDFDD9-1E7D-4D21-8370-4F213B1B6E8F}" name="Cust_Name" dataDxfId="12">
      <calculatedColumnFormula>IFERROR(VLOOKUP(salesdata[[#This Row],[Cust_ID]],customersdata[#All],2,0),"")</calculatedColumnFormula>
    </tableColumn>
    <tableColumn id="3" xr3:uid="{55E8E34B-B6A3-4157-9217-D2EDB6838BA1}" name="HSN Code" dataDxfId="20"/>
    <tableColumn id="4" xr3:uid="{47025C8A-7291-4EC7-AD59-F20C5144D617}" name="Product Name" dataDxfId="15">
      <calculatedColumnFormula>IFERROR(VLOOKUP(salesdata[[#This Row],[HSN Code]],productsdata[#All],2,0),"")</calculatedColumnFormula>
    </tableColumn>
    <tableColumn id="5" xr3:uid="{935CF430-B50A-4AB9-B807-F54929FC5D9C}" name="Date" dataDxfId="19"/>
    <tableColumn id="6" xr3:uid="{6CC7970D-D2B0-4442-9076-514236B5693E}" name="Stock(Units)" dataDxfId="2">
      <calculatedColumnFormula>IFERROR(VLOOKUP(salesdata[[#This Row],[HSN Code]],Table6[#All],6,0),"")</calculatedColumnFormula>
    </tableColumn>
    <tableColumn id="7" xr3:uid="{BEFC5A7F-E4CF-474D-8D52-EC4F34AF8975}" name="Units" dataDxfId="18"/>
    <tableColumn id="8" xr3:uid="{9F227CB0-F9F0-4BC3-AE8F-B018F637BEF7}" name="Price" dataDxfId="14">
      <calculatedColumnFormula>IFERROR(VLOOKUP(salesdata[[#This Row],[HSN Code]],productsdata[#All],4,0),"")</calculatedColumnFormula>
    </tableColumn>
    <tableColumn id="9" xr3:uid="{6D08F834-6192-4ED5-85C2-F10E4DBE9BF6}" name="Amount" dataDxfId="13">
      <calculatedColumnFormula>IFERROR(salesdata[[#This Row],[Price]]*salesdata[[#This Row],[Units]],"")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684F1CD-E842-4269-AE85-02321E1EF468}" name="Table6" displayName="Table6" ref="D6:K20" totalsRowShown="0" headerRowDxfId="6" dataDxfId="7">
  <autoFilter ref="D6:K20" xr:uid="{9684F1CD-E842-4269-AE85-02321E1EF468}"/>
  <tableColumns count="8">
    <tableColumn id="1" xr3:uid="{DA7A99DB-3063-42F9-8D54-76ABFA656ECF}" name="HSN Code" dataDxfId="10">
      <calculatedColumnFormula>IFERROR(productsdata[[#This Row],[HSN Code]],"")</calculatedColumnFormula>
    </tableColumn>
    <tableColumn id="2" xr3:uid="{2FD00B27-EB45-45BE-9C0E-DECC7FBB409E}" name="ProductName" dataDxfId="9">
      <calculatedColumnFormula>IFERROR(productsdata[[#This Row],[Product Name]],"")</calculatedColumnFormula>
    </tableColumn>
    <tableColumn id="3" xr3:uid="{A896D087-DB66-4835-827F-4527F5621665}" name="Cost" dataDxfId="8">
      <calculatedColumnFormula>IFERROR(productsdata[[#This Row],[Cost]],"")</calculatedColumnFormula>
    </tableColumn>
    <tableColumn id="4" xr3:uid="{61ECE4F2-22B3-4FAF-89A7-A4D09E5BEF8E}" name="P Units" dataDxfId="5">
      <calculatedColumnFormula>SUMIF(purchasedata[Product Name],Table6[[#This Row],[ProductName]],purchasedata[Units])</calculatedColumnFormula>
    </tableColumn>
    <tableColumn id="5" xr3:uid="{3040DE1F-3807-430F-BEA7-E1851147CD0E}" name="S Units" dataDxfId="4">
      <calculatedColumnFormula>SUMIF(salesdata[Product Name],Table6[[#This Row],[ProductName]],salesdata[Units])</calculatedColumnFormula>
    </tableColumn>
    <tableColumn id="6" xr3:uid="{27D37B9F-1E59-47E4-87F5-49E0ACBF7F6A}" name="Stock" dataDxfId="3">
      <calculatedColumnFormula>Table6[[#This Row],[P Units]]-Table6[[#This Row],[S Units]]</calculatedColumnFormula>
    </tableColumn>
    <tableColumn id="7" xr3:uid="{DF1B413D-E953-4937-A4DD-F9119104B400}" name="Stock Amt" dataDxfId="1">
      <calculatedColumnFormula>IFERROR(Table6[[#This Row],[Cost]]*Table6[[#This Row],[Stock]],"")</calculatedColumnFormula>
    </tableColumn>
    <tableColumn id="8" xr3:uid="{7497395D-52EA-4420-ACEB-9ECF6347DA54}" name="Notification" dataDxfId="0">
      <calculatedColumnFormula>IFERROR(IF(Table6[[#This Row],[Stock]]&lt;5,"📞 "&amp;Table6[[#This Row],[ProductName]]&amp;"Needs to re-order ! PH"&amp;VLOOKUP(Table6[[#This Row],[HSN Code]],vendorsdata[#All],4,),""),"")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/>
        </a:solidFill>
        <a:ln w="3175">
          <a:solidFill>
            <a:schemeClr val="tx1"/>
          </a:solidFill>
        </a:ln>
      </a:spPr>
      <a:bodyPr vertOverflow="clip" horzOverflow="clip" rtlCol="0" anchor="ctr"/>
      <a:lstStyle>
        <a:defPPr algn="l">
          <a:defRPr sz="3200" b="1">
            <a:solidFill>
              <a:schemeClr val="tx1"/>
            </a:solidFill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hyperlink" Target="mailto:99s@gmail.com" TargetMode="External"/><Relationship Id="rId7" Type="http://schemas.openxmlformats.org/officeDocument/2006/relationships/hyperlink" Target="mailto:shiv@gmail.com" TargetMode="External"/><Relationship Id="rId2" Type="http://schemas.openxmlformats.org/officeDocument/2006/relationships/hyperlink" Target="mailto:Atu@gmail.com" TargetMode="External"/><Relationship Id="rId1" Type="http://schemas.openxmlformats.org/officeDocument/2006/relationships/hyperlink" Target="mailto:Ram@gmail.com" TargetMode="External"/><Relationship Id="rId6" Type="http://schemas.openxmlformats.org/officeDocument/2006/relationships/hyperlink" Target="mailto:Jai@gmail.com" TargetMode="External"/><Relationship Id="rId5" Type="http://schemas.openxmlformats.org/officeDocument/2006/relationships/hyperlink" Target="mailto:Amit@gmail.com" TargetMode="External"/><Relationship Id="rId4" Type="http://schemas.openxmlformats.org/officeDocument/2006/relationships/hyperlink" Target="mailto:Raj@gmail.com" TargetMode="External"/><Relationship Id="rId9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4C0CD-D892-443C-BCFF-444ED7367229}">
  <dimension ref="B1:P35"/>
  <sheetViews>
    <sheetView showGridLines="0" showRowColHeaders="0" tabSelected="1" zoomScale="99" zoomScaleNormal="99" workbookViewId="0">
      <selection activeCell="H24" sqref="H24"/>
    </sheetView>
  </sheetViews>
  <sheetFormatPr defaultRowHeight="14.4" x14ac:dyDescent="0.3"/>
  <cols>
    <col min="1" max="1" width="4.6640625" style="1" customWidth="1"/>
    <col min="2" max="2" width="24.5546875" style="2" customWidth="1"/>
    <col min="3" max="3" width="4.6640625" style="1" customWidth="1"/>
    <col min="4" max="12" width="8.88671875" style="1"/>
    <col min="13" max="13" width="11" style="1" bestFit="1" customWidth="1"/>
    <col min="14" max="14" width="8" style="1" customWidth="1"/>
    <col min="15" max="15" width="8.88671875" style="1"/>
    <col min="16" max="16" width="12.77734375" style="1" customWidth="1"/>
    <col min="17" max="16384" width="8.88671875" style="1"/>
  </cols>
  <sheetData>
    <row r="1" spans="2:16" x14ac:dyDescent="0.3">
      <c r="B1" s="1"/>
    </row>
    <row r="11" spans="2:16" x14ac:dyDescent="0.3">
      <c r="M11" s="13" t="s">
        <v>93</v>
      </c>
      <c r="N11" s="13"/>
      <c r="O11" s="13"/>
      <c r="P11" s="13"/>
    </row>
    <row r="12" spans="2:16" x14ac:dyDescent="0.3">
      <c r="M12" s="15" t="str" cm="1">
        <f t="array" ref="M12:M14">_xlfn._xlws.FILTER(Table6[Notification],Table6[Notification]&lt;&gt;"")</f>
        <v>📞 Smart WatchNeeds to re-order ! PH9812XXXXXX</v>
      </c>
      <c r="N12" s="16"/>
      <c r="O12" s="16"/>
      <c r="P12" s="16"/>
    </row>
    <row r="13" spans="2:16" x14ac:dyDescent="0.3">
      <c r="M13" s="15" t="str">
        <v>📞 Wireless PrinterNeeds to re-order ! PH9812XXXXXX</v>
      </c>
      <c r="N13" s="16"/>
      <c r="O13" s="16"/>
      <c r="P13" s="16"/>
    </row>
    <row r="14" spans="2:16" x14ac:dyDescent="0.3">
      <c r="M14" s="15" t="str">
        <v>📞 TabletsNeeds to re-order ! PH9814XXXXXX</v>
      </c>
      <c r="N14" s="16"/>
      <c r="O14" s="16"/>
      <c r="P14" s="16"/>
    </row>
    <row r="15" spans="2:16" x14ac:dyDescent="0.3">
      <c r="M15" s="15"/>
      <c r="N15" s="16"/>
      <c r="O15" s="16"/>
      <c r="P15" s="16"/>
    </row>
    <row r="16" spans="2:16" x14ac:dyDescent="0.3">
      <c r="B16" s="3"/>
      <c r="M16" s="15"/>
      <c r="N16" s="16"/>
      <c r="O16" s="16"/>
      <c r="P16" s="16"/>
    </row>
    <row r="17" spans="2:16" x14ac:dyDescent="0.3">
      <c r="M17" s="15"/>
      <c r="N17" s="16"/>
      <c r="O17" s="16"/>
      <c r="P17" s="16"/>
    </row>
    <row r="18" spans="2:16" x14ac:dyDescent="0.3">
      <c r="M18" s="15"/>
      <c r="N18" s="16"/>
      <c r="O18" s="16"/>
      <c r="P18" s="16"/>
    </row>
    <row r="19" spans="2:16" x14ac:dyDescent="0.3">
      <c r="M19" s="15"/>
      <c r="N19" s="16"/>
      <c r="O19" s="16"/>
      <c r="P19" s="16"/>
    </row>
    <row r="20" spans="2:16" x14ac:dyDescent="0.3">
      <c r="M20" s="15"/>
      <c r="N20" s="16"/>
      <c r="O20" s="16"/>
      <c r="P20" s="16"/>
    </row>
    <row r="21" spans="2:16" x14ac:dyDescent="0.3">
      <c r="M21" s="15"/>
      <c r="N21" s="16"/>
      <c r="O21" s="16"/>
      <c r="P21" s="16"/>
    </row>
    <row r="22" spans="2:16" x14ac:dyDescent="0.3">
      <c r="M22" s="15"/>
      <c r="N22" s="16"/>
      <c r="O22" s="16"/>
      <c r="P22" s="16"/>
    </row>
    <row r="23" spans="2:16" x14ac:dyDescent="0.3">
      <c r="M23" s="15"/>
      <c r="N23" s="16"/>
      <c r="O23" s="16"/>
      <c r="P23" s="16"/>
    </row>
    <row r="24" spans="2:16" x14ac:dyDescent="0.3">
      <c r="M24" s="15"/>
      <c r="N24" s="16"/>
      <c r="O24" s="16"/>
      <c r="P24" s="16"/>
    </row>
    <row r="25" spans="2:16" x14ac:dyDescent="0.3">
      <c r="B25" s="1"/>
    </row>
    <row r="26" spans="2:16" x14ac:dyDescent="0.3">
      <c r="B26" s="1"/>
    </row>
    <row r="27" spans="2:16" x14ac:dyDescent="0.3">
      <c r="B27" s="1"/>
    </row>
    <row r="28" spans="2:16" x14ac:dyDescent="0.3">
      <c r="B28" s="1"/>
    </row>
    <row r="29" spans="2:16" x14ac:dyDescent="0.3">
      <c r="B29" s="1"/>
    </row>
    <row r="30" spans="2:16" x14ac:dyDescent="0.3">
      <c r="B30" s="1"/>
    </row>
    <row r="31" spans="2:16" x14ac:dyDescent="0.3">
      <c r="B31" s="1"/>
    </row>
    <row r="32" spans="2:16" x14ac:dyDescent="0.3">
      <c r="B32" s="1"/>
    </row>
    <row r="33" spans="2:2" x14ac:dyDescent="0.3">
      <c r="B33" s="1"/>
    </row>
    <row r="34" spans="2:2" x14ac:dyDescent="0.3">
      <c r="B34" s="1"/>
    </row>
    <row r="35" spans="2:2" x14ac:dyDescent="0.3">
      <c r="B35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7F02D-6DDF-4E80-BD3A-56C8D5E94468}">
  <dimension ref="B1:G16"/>
  <sheetViews>
    <sheetView showGridLines="0" showRowColHeaders="0" workbookViewId="0">
      <selection activeCell="G16" sqref="G16"/>
    </sheetView>
  </sheetViews>
  <sheetFormatPr defaultRowHeight="14.4" x14ac:dyDescent="0.3"/>
  <cols>
    <col min="1" max="1" width="4.6640625" style="1" customWidth="1"/>
    <col min="2" max="2" width="24.5546875" style="2" customWidth="1"/>
    <col min="3" max="3" width="4.44140625" style="1" customWidth="1"/>
    <col min="4" max="4" width="9.21875" style="5" customWidth="1"/>
    <col min="5" max="5" width="14.21875" style="1" customWidth="1"/>
    <col min="6" max="6" width="16.88671875" style="1" customWidth="1"/>
    <col min="7" max="7" width="18.6640625" style="1" customWidth="1"/>
    <col min="8" max="16384" width="8.88671875" style="1"/>
  </cols>
  <sheetData>
    <row r="1" spans="2:7" x14ac:dyDescent="0.3">
      <c r="B1" s="1"/>
    </row>
    <row r="7" spans="2:7" x14ac:dyDescent="0.3">
      <c r="D7" s="5" t="s">
        <v>0</v>
      </c>
      <c r="E7" s="1" t="s">
        <v>1</v>
      </c>
      <c r="F7" s="1" t="s">
        <v>9</v>
      </c>
      <c r="G7" s="1" t="s">
        <v>17</v>
      </c>
    </row>
    <row r="8" spans="2:7" x14ac:dyDescent="0.3">
      <c r="D8" s="5">
        <v>100</v>
      </c>
      <c r="E8" s="1" t="s">
        <v>2</v>
      </c>
      <c r="F8" s="4" t="s">
        <v>10</v>
      </c>
      <c r="G8" s="1" t="s">
        <v>18</v>
      </c>
    </row>
    <row r="9" spans="2:7" x14ac:dyDescent="0.3">
      <c r="D9" s="5">
        <v>101</v>
      </c>
      <c r="E9" s="1" t="s">
        <v>3</v>
      </c>
      <c r="F9" s="4" t="s">
        <v>13</v>
      </c>
      <c r="G9" s="1" t="s">
        <v>19</v>
      </c>
    </row>
    <row r="10" spans="2:7" x14ac:dyDescent="0.3">
      <c r="D10" s="5">
        <v>102</v>
      </c>
      <c r="E10" s="1" t="s">
        <v>4</v>
      </c>
      <c r="F10" s="1" t="s">
        <v>12</v>
      </c>
      <c r="G10" s="1" t="s">
        <v>20</v>
      </c>
    </row>
    <row r="11" spans="2:7" x14ac:dyDescent="0.3">
      <c r="D11" s="5">
        <v>103</v>
      </c>
      <c r="E11" s="1" t="s">
        <v>5</v>
      </c>
      <c r="F11" s="4" t="s">
        <v>14</v>
      </c>
      <c r="G11" s="1" t="s">
        <v>21</v>
      </c>
    </row>
    <row r="12" spans="2:7" x14ac:dyDescent="0.3">
      <c r="D12" s="5">
        <v>104</v>
      </c>
      <c r="E12" s="1" t="s">
        <v>6</v>
      </c>
      <c r="F12" s="4" t="s">
        <v>15</v>
      </c>
      <c r="G12" s="1" t="s">
        <v>22</v>
      </c>
    </row>
    <row r="13" spans="2:7" x14ac:dyDescent="0.3">
      <c r="D13" s="5">
        <v>105</v>
      </c>
      <c r="E13" s="1" t="s">
        <v>7</v>
      </c>
      <c r="F13" s="4" t="s">
        <v>11</v>
      </c>
      <c r="G13" s="1" t="s">
        <v>23</v>
      </c>
    </row>
    <row r="14" spans="2:7" x14ac:dyDescent="0.3">
      <c r="D14" s="5">
        <v>106</v>
      </c>
      <c r="E14" s="1" t="s">
        <v>8</v>
      </c>
      <c r="F14" s="4" t="s">
        <v>16</v>
      </c>
      <c r="G14" s="1" t="s">
        <v>24</v>
      </c>
    </row>
    <row r="15" spans="2:7" x14ac:dyDescent="0.3">
      <c r="D15" s="5">
        <v>107</v>
      </c>
      <c r="E15" s="1" t="s">
        <v>96</v>
      </c>
      <c r="F15" s="4" t="s">
        <v>97</v>
      </c>
      <c r="G15" s="1" t="s">
        <v>98</v>
      </c>
    </row>
    <row r="16" spans="2:7" x14ac:dyDescent="0.3">
      <c r="B16" s="3"/>
    </row>
  </sheetData>
  <hyperlinks>
    <hyperlink ref="F8" r:id="rId1" xr:uid="{12185258-EFCB-4CA4-9EF5-756B135AFC8E}"/>
    <hyperlink ref="F9" r:id="rId2" xr:uid="{D1D9AFDE-F665-4653-8028-4D1E091EBA3C}"/>
    <hyperlink ref="F11" r:id="rId3" xr:uid="{5EF144A4-1720-48DF-B260-317024E410D0}"/>
    <hyperlink ref="F12" r:id="rId4" xr:uid="{E3CF355F-D013-422E-ABE9-6770D68CE814}"/>
    <hyperlink ref="F13" r:id="rId5" xr:uid="{FB563199-232E-4027-8D05-A5D691A8D881}"/>
    <hyperlink ref="F14" r:id="rId6" xr:uid="{359DE112-B505-4B0B-8B61-A10748D74D9D}"/>
    <hyperlink ref="F15" r:id="rId7" xr:uid="{1CA35CC4-CEB0-4629-8500-DE37AE3FD18B}"/>
  </hyperlinks>
  <pageMargins left="0.7" right="0.7" top="0.75" bottom="0.75" header="0.3" footer="0.3"/>
  <drawing r:id="rId8"/>
  <tableParts count="1"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19EC7-BCB8-422D-9602-959DF2A4EF5E}">
  <dimension ref="B1:G16"/>
  <sheetViews>
    <sheetView showGridLines="0" showRowColHeaders="0" workbookViewId="0">
      <selection activeCell="H24" sqref="H24"/>
    </sheetView>
  </sheetViews>
  <sheetFormatPr defaultRowHeight="14.4" x14ac:dyDescent="0.3"/>
  <cols>
    <col min="1" max="1" width="4.6640625" style="1" customWidth="1"/>
    <col min="2" max="2" width="24.5546875" style="2" customWidth="1"/>
    <col min="3" max="3" width="3.77734375" style="1" customWidth="1"/>
    <col min="4" max="4" width="11.33203125" style="1" customWidth="1"/>
    <col min="5" max="5" width="14.77734375" style="1" customWidth="1"/>
    <col min="6" max="6" width="8.88671875" style="1" customWidth="1"/>
    <col min="7" max="7" width="13.21875" style="1" customWidth="1"/>
    <col min="8" max="8" width="8.88671875" style="1"/>
    <col min="9" max="9" width="16.21875" style="1" customWidth="1"/>
    <col min="10" max="16384" width="8.88671875" style="1"/>
  </cols>
  <sheetData>
    <row r="1" spans="2:7" x14ac:dyDescent="0.3">
      <c r="B1" s="1"/>
    </row>
    <row r="6" spans="2:7" x14ac:dyDescent="0.3">
      <c r="D6" s="1" t="s">
        <v>25</v>
      </c>
      <c r="E6" s="1" t="s">
        <v>36</v>
      </c>
      <c r="F6" s="1" t="s">
        <v>47</v>
      </c>
      <c r="G6" s="1" t="s">
        <v>48</v>
      </c>
    </row>
    <row r="7" spans="2:7" x14ac:dyDescent="0.3">
      <c r="D7" s="1" t="s">
        <v>26</v>
      </c>
      <c r="E7" s="1" t="s">
        <v>37</v>
      </c>
      <c r="F7" s="1">
        <v>980</v>
      </c>
      <c r="G7" s="1">
        <v>1176</v>
      </c>
    </row>
    <row r="8" spans="2:7" x14ac:dyDescent="0.3">
      <c r="D8" s="1" t="s">
        <v>27</v>
      </c>
      <c r="E8" s="1" t="s">
        <v>38</v>
      </c>
      <c r="F8" s="1">
        <v>34500</v>
      </c>
      <c r="G8" s="1">
        <v>41400</v>
      </c>
    </row>
    <row r="9" spans="2:7" x14ac:dyDescent="0.3">
      <c r="D9" s="1" t="s">
        <v>28</v>
      </c>
      <c r="E9" s="1" t="s">
        <v>39</v>
      </c>
      <c r="F9" s="1">
        <v>4600</v>
      </c>
      <c r="G9" s="1">
        <v>5520</v>
      </c>
    </row>
    <row r="10" spans="2:7" x14ac:dyDescent="0.3">
      <c r="D10" s="1" t="s">
        <v>29</v>
      </c>
      <c r="E10" s="1" t="s">
        <v>40</v>
      </c>
      <c r="F10" s="1">
        <v>21000</v>
      </c>
      <c r="G10" s="1">
        <v>25200</v>
      </c>
    </row>
    <row r="11" spans="2:7" x14ac:dyDescent="0.3">
      <c r="D11" s="1" t="s">
        <v>30</v>
      </c>
      <c r="E11" s="1" t="s">
        <v>41</v>
      </c>
      <c r="F11" s="1">
        <v>200</v>
      </c>
      <c r="G11" s="1">
        <v>240</v>
      </c>
    </row>
    <row r="12" spans="2:7" x14ac:dyDescent="0.3">
      <c r="D12" s="1" t="s">
        <v>31</v>
      </c>
      <c r="E12" s="1" t="s">
        <v>42</v>
      </c>
      <c r="F12" s="1">
        <v>340</v>
      </c>
      <c r="G12" s="1">
        <v>408</v>
      </c>
    </row>
    <row r="13" spans="2:7" x14ac:dyDescent="0.3">
      <c r="D13" s="1" t="s">
        <v>32</v>
      </c>
      <c r="E13" s="1" t="s">
        <v>43</v>
      </c>
      <c r="F13" s="1">
        <v>52000</v>
      </c>
      <c r="G13" s="1">
        <v>62400</v>
      </c>
    </row>
    <row r="14" spans="2:7" x14ac:dyDescent="0.3">
      <c r="D14" s="1" t="s">
        <v>33</v>
      </c>
      <c r="E14" s="1" t="s">
        <v>44</v>
      </c>
      <c r="F14" s="1">
        <v>799</v>
      </c>
      <c r="G14" s="1">
        <v>958.8</v>
      </c>
    </row>
    <row r="15" spans="2:7" x14ac:dyDescent="0.3">
      <c r="D15" s="1" t="s">
        <v>34</v>
      </c>
      <c r="E15" s="1" t="s">
        <v>45</v>
      </c>
      <c r="F15" s="1">
        <v>670</v>
      </c>
      <c r="G15" s="1">
        <v>804</v>
      </c>
    </row>
    <row r="16" spans="2:7" x14ac:dyDescent="0.3">
      <c r="B16" s="3"/>
      <c r="D16" s="1" t="s">
        <v>35</v>
      </c>
      <c r="E16" s="1" t="s">
        <v>46</v>
      </c>
      <c r="F16" s="1">
        <v>23000</v>
      </c>
      <c r="G16" s="1">
        <v>28200</v>
      </c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0BB58-7594-4057-93F9-55800D01A5CC}">
  <dimension ref="B1:H16"/>
  <sheetViews>
    <sheetView showGridLines="0" showRowColHeaders="0" workbookViewId="0">
      <selection activeCell="H24" sqref="H24"/>
    </sheetView>
  </sheetViews>
  <sheetFormatPr defaultRowHeight="14.4" x14ac:dyDescent="0.3"/>
  <cols>
    <col min="1" max="1" width="4.6640625" style="1" customWidth="1"/>
    <col min="2" max="2" width="24.5546875" style="2" customWidth="1"/>
    <col min="3" max="3" width="4.5546875" style="1" customWidth="1"/>
    <col min="4" max="4" width="11.44140625" style="1" customWidth="1"/>
    <col min="5" max="5" width="17.77734375" style="1" customWidth="1"/>
    <col min="6" max="6" width="14.6640625" style="1" customWidth="1"/>
    <col min="7" max="7" width="13.44140625" style="1" customWidth="1"/>
    <col min="8" max="8" width="15.77734375" style="1" bestFit="1" customWidth="1"/>
    <col min="9" max="16384" width="8.88671875" style="1"/>
  </cols>
  <sheetData>
    <row r="1" spans="2:8" x14ac:dyDescent="0.3">
      <c r="B1" s="1"/>
    </row>
    <row r="6" spans="2:8" x14ac:dyDescent="0.3">
      <c r="D6" s="1" t="s">
        <v>25</v>
      </c>
      <c r="E6" s="1" t="s">
        <v>36</v>
      </c>
      <c r="F6" s="1" t="s">
        <v>49</v>
      </c>
      <c r="G6" s="1" t="s">
        <v>53</v>
      </c>
      <c r="H6" s="1" t="s">
        <v>17</v>
      </c>
    </row>
    <row r="7" spans="2:8" x14ac:dyDescent="0.3">
      <c r="D7" s="1" t="s">
        <v>26</v>
      </c>
      <c r="E7" s="6" t="s">
        <v>37</v>
      </c>
      <c r="F7" s="1" t="s">
        <v>50</v>
      </c>
      <c r="G7" s="1" t="s">
        <v>54</v>
      </c>
      <c r="H7" s="1" t="s">
        <v>57</v>
      </c>
    </row>
    <row r="8" spans="2:8" x14ac:dyDescent="0.3">
      <c r="D8" s="1" t="s">
        <v>27</v>
      </c>
      <c r="E8" s="6" t="s">
        <v>38</v>
      </c>
      <c r="F8" s="1" t="s">
        <v>50</v>
      </c>
      <c r="G8" s="1" t="s">
        <v>54</v>
      </c>
      <c r="H8" s="1" t="s">
        <v>58</v>
      </c>
    </row>
    <row r="9" spans="2:8" x14ac:dyDescent="0.3">
      <c r="D9" s="1" t="s">
        <v>28</v>
      </c>
      <c r="E9" s="6" t="s">
        <v>39</v>
      </c>
      <c r="F9" s="1" t="s">
        <v>50</v>
      </c>
      <c r="G9" s="1" t="s">
        <v>54</v>
      </c>
      <c r="H9" s="1" t="s">
        <v>59</v>
      </c>
    </row>
    <row r="10" spans="2:8" x14ac:dyDescent="0.3">
      <c r="D10" s="1" t="s">
        <v>29</v>
      </c>
      <c r="E10" s="6" t="s">
        <v>40</v>
      </c>
      <c r="F10" s="1" t="s">
        <v>51</v>
      </c>
      <c r="G10" s="1" t="s">
        <v>55</v>
      </c>
      <c r="H10" s="1" t="s">
        <v>23</v>
      </c>
    </row>
    <row r="11" spans="2:8" x14ac:dyDescent="0.3">
      <c r="D11" s="1" t="s">
        <v>30</v>
      </c>
      <c r="E11" s="6" t="s">
        <v>41</v>
      </c>
      <c r="F11" s="1" t="s">
        <v>51</v>
      </c>
      <c r="G11" s="1" t="s">
        <v>55</v>
      </c>
      <c r="H11" s="1" t="s">
        <v>60</v>
      </c>
    </row>
    <row r="12" spans="2:8" x14ac:dyDescent="0.3">
      <c r="D12" s="1" t="s">
        <v>31</v>
      </c>
      <c r="E12" s="6" t="s">
        <v>42</v>
      </c>
      <c r="F12" s="1" t="s">
        <v>51</v>
      </c>
      <c r="G12" s="1" t="s">
        <v>55</v>
      </c>
      <c r="H12" s="1" t="s">
        <v>61</v>
      </c>
    </row>
    <row r="13" spans="2:8" x14ac:dyDescent="0.3">
      <c r="D13" s="1" t="s">
        <v>32</v>
      </c>
      <c r="E13" s="6" t="s">
        <v>43</v>
      </c>
      <c r="F13" s="1" t="s">
        <v>51</v>
      </c>
      <c r="G13" s="1" t="s">
        <v>55</v>
      </c>
      <c r="H13" s="1" t="s">
        <v>62</v>
      </c>
    </row>
    <row r="14" spans="2:8" x14ac:dyDescent="0.3">
      <c r="D14" s="1" t="s">
        <v>33</v>
      </c>
      <c r="E14" s="6" t="s">
        <v>44</v>
      </c>
      <c r="F14" s="1" t="s">
        <v>52</v>
      </c>
      <c r="G14" s="1" t="s">
        <v>56</v>
      </c>
      <c r="H14" s="1" t="s">
        <v>63</v>
      </c>
    </row>
    <row r="15" spans="2:8" x14ac:dyDescent="0.3">
      <c r="D15" s="1" t="s">
        <v>34</v>
      </c>
      <c r="E15" s="6" t="s">
        <v>45</v>
      </c>
      <c r="F15" s="1" t="s">
        <v>52</v>
      </c>
      <c r="G15" s="1" t="s">
        <v>56</v>
      </c>
      <c r="H15" s="1" t="s">
        <v>64</v>
      </c>
    </row>
    <row r="16" spans="2:8" x14ac:dyDescent="0.3">
      <c r="B16" s="3"/>
      <c r="D16" s="1" t="s">
        <v>35</v>
      </c>
      <c r="E16" s="7" t="s">
        <v>46</v>
      </c>
      <c r="F16" s="1" t="s">
        <v>52</v>
      </c>
      <c r="G16" s="1" t="s">
        <v>56</v>
      </c>
      <c r="H16" s="1" t="s">
        <v>65</v>
      </c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6AEC5-82A7-47C2-9308-52FED4EB428C}">
  <dimension ref="B1:E16"/>
  <sheetViews>
    <sheetView showGridLines="0" showRowColHeaders="0" zoomScale="99" zoomScaleNormal="99" workbookViewId="0">
      <selection activeCell="H24" sqref="H24"/>
    </sheetView>
  </sheetViews>
  <sheetFormatPr defaultRowHeight="14.4" x14ac:dyDescent="0.3"/>
  <cols>
    <col min="1" max="1" width="4.6640625" style="1" customWidth="1"/>
    <col min="2" max="2" width="24.5546875" style="2" customWidth="1"/>
    <col min="3" max="3" width="4.44140625" style="1" customWidth="1"/>
    <col min="4" max="4" width="8.88671875" style="1"/>
    <col min="5" max="5" width="13" style="1" customWidth="1"/>
    <col min="6" max="16384" width="8.88671875" style="1"/>
  </cols>
  <sheetData>
    <row r="1" spans="2:5" x14ac:dyDescent="0.3">
      <c r="B1" s="1"/>
    </row>
    <row r="8" spans="2:5" x14ac:dyDescent="0.3">
      <c r="E8" s="4" t="s">
        <v>66</v>
      </c>
    </row>
    <row r="11" spans="2:5" x14ac:dyDescent="0.3">
      <c r="E11" s="4" t="s">
        <v>67</v>
      </c>
    </row>
    <row r="16" spans="2:5" x14ac:dyDescent="0.3">
      <c r="B16" s="3"/>
    </row>
  </sheetData>
  <hyperlinks>
    <hyperlink ref="E11" location="Sales!A1" display="Sales Entry" xr:uid="{F085407D-2D29-4C66-8B91-A018DF595144}"/>
    <hyperlink ref="E8" location="Purcahse!A1" display="Purchase Entry" xr:uid="{9857AEE9-E8E5-492B-A0B7-D83D9FA33FCA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4364B-9834-4562-A31D-BBB0E75E9BFC}">
  <dimension ref="B1:J18"/>
  <sheetViews>
    <sheetView showGridLines="0" showRowColHeaders="0" topLeftCell="B1" zoomScale="99" zoomScaleNormal="99" workbookViewId="0">
      <pane xSplit="2" ySplit="6" topLeftCell="D7" activePane="bottomRight" state="frozen"/>
      <selection activeCell="H24" sqref="H24"/>
      <selection pane="topRight" activeCell="H24" sqref="H24"/>
      <selection pane="bottomLeft" activeCell="H24" sqref="H24"/>
      <selection pane="bottomRight" activeCell="H24" sqref="H24"/>
    </sheetView>
  </sheetViews>
  <sheetFormatPr defaultRowHeight="14.4" x14ac:dyDescent="0.3"/>
  <cols>
    <col min="1" max="1" width="4.6640625" style="1" customWidth="1"/>
    <col min="2" max="2" width="24.5546875" style="2" customWidth="1"/>
    <col min="3" max="3" width="4.5546875" style="1" customWidth="1"/>
    <col min="4" max="4" width="11.33203125" style="1" customWidth="1"/>
    <col min="5" max="5" width="15.21875" style="1" customWidth="1"/>
    <col min="6" max="6" width="15.88671875" style="1" customWidth="1"/>
    <col min="7" max="7" width="13.109375" style="1" customWidth="1"/>
    <col min="8" max="8" width="7.21875" style="1" customWidth="1"/>
    <col min="9" max="9" width="10.5546875" style="1" customWidth="1"/>
    <col min="10" max="10" width="10.77734375" style="1" customWidth="1"/>
    <col min="11" max="16384" width="8.88671875" style="1"/>
  </cols>
  <sheetData>
    <row r="1" spans="2:10" x14ac:dyDescent="0.3">
      <c r="B1" s="1"/>
    </row>
    <row r="6" spans="2:10" x14ac:dyDescent="0.3">
      <c r="D6" s="1" t="s">
        <v>25</v>
      </c>
      <c r="E6" s="1" t="s">
        <v>36</v>
      </c>
      <c r="F6" s="1" t="s">
        <v>68</v>
      </c>
      <c r="G6" s="1" t="s">
        <v>69</v>
      </c>
      <c r="H6" s="1" t="s">
        <v>70</v>
      </c>
      <c r="I6" s="1" t="s">
        <v>47</v>
      </c>
      <c r="J6" s="1" t="s">
        <v>71</v>
      </c>
    </row>
    <row r="7" spans="2:10" x14ac:dyDescent="0.3">
      <c r="D7" s="1" t="s">
        <v>27</v>
      </c>
      <c r="E7" s="1" t="str">
        <f>IFERROR(VLOOKUP(purchasedata[[#This Row],[HSN Code]],productsdata[#All],2,0),"")</f>
        <v>Laptop HP xyz i5</v>
      </c>
      <c r="F7" s="1" t="str">
        <f>IFERROR(VLOOKUP(purchasedata[[#This Row],[HSN Code]],vendorsdata[#All],3,0),"")</f>
        <v>Tech99</v>
      </c>
      <c r="G7" s="8">
        <v>36526</v>
      </c>
      <c r="H7" s="1">
        <v>10</v>
      </c>
      <c r="I7" s="1">
        <f>IFERROR(VLOOKUP(purchasedata[[#This Row],[HSN Code]],productsdata[#All],3,0),"")</f>
        <v>34500</v>
      </c>
      <c r="J7" s="1">
        <f>IFERROR(purchasedata[[#This Row],[Units]]*purchasedata[[#This Row],[Cost]],"")</f>
        <v>345000</v>
      </c>
    </row>
    <row r="8" spans="2:10" x14ac:dyDescent="0.3">
      <c r="D8" s="1" t="s">
        <v>28</v>
      </c>
      <c r="E8" s="1" t="str">
        <f>IFERROR(VLOOKUP(purchasedata[[#This Row],[HSN Code]],productsdata[#All],2,0),"")</f>
        <v>Wireless Printer</v>
      </c>
      <c r="F8" s="1" t="str">
        <f>IFERROR(VLOOKUP(purchasedata[[#This Row],[HSN Code]],vendorsdata[#All],3,0),"")</f>
        <v>Tech99</v>
      </c>
      <c r="G8" s="8">
        <v>36527</v>
      </c>
      <c r="H8" s="1">
        <v>10</v>
      </c>
      <c r="I8" s="1">
        <f>IFERROR(VLOOKUP(purchasedata[[#This Row],[HSN Code]],productsdata[#All],3,0),"")</f>
        <v>4600</v>
      </c>
      <c r="J8" s="1">
        <f>IFERROR(purchasedata[[#This Row],[Units]]*purchasedata[[#This Row],[Cost]],"")</f>
        <v>46000</v>
      </c>
    </row>
    <row r="9" spans="2:10" x14ac:dyDescent="0.3">
      <c r="D9" s="1" t="s">
        <v>27</v>
      </c>
      <c r="E9" s="1" t="str">
        <f>IFERROR(VLOOKUP(purchasedata[[#This Row],[HSN Code]],productsdata[#All],2,0),"")</f>
        <v>Laptop HP xyz i5</v>
      </c>
      <c r="F9" s="1" t="str">
        <f>IFERROR(VLOOKUP(purchasedata[[#This Row],[HSN Code]],vendorsdata[#All],3,0),"")</f>
        <v>Tech99</v>
      </c>
      <c r="G9" s="8">
        <v>36528</v>
      </c>
      <c r="H9" s="1">
        <v>20</v>
      </c>
      <c r="I9" s="1">
        <f>IFERROR(VLOOKUP(purchasedata[[#This Row],[HSN Code]],productsdata[#All],3,0),"")</f>
        <v>34500</v>
      </c>
      <c r="J9" s="1">
        <f>IFERROR(purchasedata[[#This Row],[Units]]*purchasedata[[#This Row],[Cost]],"")</f>
        <v>690000</v>
      </c>
    </row>
    <row r="10" spans="2:10" x14ac:dyDescent="0.3">
      <c r="D10" s="1" t="s">
        <v>33</v>
      </c>
      <c r="E10" s="1" t="str">
        <f>IFERROR(VLOOKUP(purchasedata[[#This Row],[HSN Code]],productsdata[#All],2,0),"")</f>
        <v>Headphones</v>
      </c>
      <c r="F10" s="1" t="str">
        <f>IFERROR(VLOOKUP(purchasedata[[#This Row],[HSN Code]],vendorsdata[#All],3,0),"")</f>
        <v>Compac</v>
      </c>
      <c r="G10" s="8">
        <v>36529</v>
      </c>
      <c r="H10" s="1">
        <v>20</v>
      </c>
      <c r="I10" s="1">
        <f>IFERROR(VLOOKUP(purchasedata[[#This Row],[HSN Code]],productsdata[#All],3,0),"")</f>
        <v>799</v>
      </c>
      <c r="J10" s="1">
        <f>IFERROR(purchasedata[[#This Row],[Units]]*purchasedata[[#This Row],[Cost]],"")</f>
        <v>15980</v>
      </c>
    </row>
    <row r="11" spans="2:10" x14ac:dyDescent="0.3">
      <c r="D11" s="1" t="s">
        <v>35</v>
      </c>
      <c r="E11" s="1" t="str">
        <f>IFERROR(VLOOKUP(purchasedata[[#This Row],[HSN Code]],productsdata[#All],2,0),"")</f>
        <v>Tablets</v>
      </c>
      <c r="F11" s="1" t="str">
        <f>IFERROR(VLOOKUP(purchasedata[[#This Row],[HSN Code]],vendorsdata[#All],3,0),"")</f>
        <v>Compac</v>
      </c>
      <c r="G11" s="8">
        <v>36530</v>
      </c>
      <c r="H11" s="1">
        <v>12</v>
      </c>
      <c r="I11" s="1">
        <f>IFERROR(VLOOKUP(purchasedata[[#This Row],[HSN Code]],productsdata[#All],3,0),"")</f>
        <v>23000</v>
      </c>
      <c r="J11" s="1">
        <f>IFERROR(purchasedata[[#This Row],[Units]]*purchasedata[[#This Row],[Cost]],"")</f>
        <v>276000</v>
      </c>
    </row>
    <row r="12" spans="2:10" x14ac:dyDescent="0.3">
      <c r="D12" s="1" t="s">
        <v>31</v>
      </c>
      <c r="E12" s="1" t="str">
        <f>IFERROR(VLOOKUP(purchasedata[[#This Row],[HSN Code]],productsdata[#All],2,0),"")</f>
        <v>Rgb Keyboard</v>
      </c>
      <c r="F12" s="1" t="str">
        <f>IFERROR(VLOOKUP(purchasedata[[#This Row],[HSN Code]],vendorsdata[#All],3,0),"")</f>
        <v>GG Traders</v>
      </c>
      <c r="G12" s="8">
        <v>36531</v>
      </c>
      <c r="H12" s="1">
        <v>15</v>
      </c>
      <c r="I12" s="1">
        <f>IFERROR(VLOOKUP(purchasedata[[#This Row],[HSN Code]],productsdata[#All],3,0),"")</f>
        <v>340</v>
      </c>
      <c r="J12" s="1">
        <f>IFERROR(purchasedata[[#This Row],[Units]]*purchasedata[[#This Row],[Cost]],"")</f>
        <v>5100</v>
      </c>
    </row>
    <row r="13" spans="2:10" x14ac:dyDescent="0.3">
      <c r="D13" s="1" t="s">
        <v>32</v>
      </c>
      <c r="E13" s="1" t="str">
        <f>IFERROR(VLOOKUP(purchasedata[[#This Row],[HSN Code]],productsdata[#All],2,0),"")</f>
        <v xml:space="preserve">Camera </v>
      </c>
      <c r="F13" s="1" t="str">
        <f>IFERROR(VLOOKUP(purchasedata[[#This Row],[HSN Code]],vendorsdata[#All],3,0),"")</f>
        <v>GG Traders</v>
      </c>
      <c r="G13" s="8">
        <v>36532</v>
      </c>
      <c r="H13" s="1">
        <v>12</v>
      </c>
      <c r="I13" s="1">
        <f>IFERROR(VLOOKUP(purchasedata[[#This Row],[HSN Code]],productsdata[#All],3,0),"")</f>
        <v>52000</v>
      </c>
      <c r="J13" s="1">
        <f>IFERROR(purchasedata[[#This Row],[Units]]*purchasedata[[#This Row],[Cost]],"")</f>
        <v>624000</v>
      </c>
    </row>
    <row r="14" spans="2:10" x14ac:dyDescent="0.3">
      <c r="D14" s="1" t="s">
        <v>30</v>
      </c>
      <c r="E14" s="1" t="str">
        <f>IFERROR(VLOOKUP(purchasedata[[#This Row],[HSN Code]],productsdata[#All],2,0),"")</f>
        <v>Mouse</v>
      </c>
      <c r="F14" s="1" t="str">
        <f>IFERROR(VLOOKUP(purchasedata[[#This Row],[HSN Code]],vendorsdata[#All],3,0),"")</f>
        <v>GG Traders</v>
      </c>
      <c r="G14" s="8">
        <v>36533</v>
      </c>
      <c r="H14" s="1">
        <v>60</v>
      </c>
      <c r="I14" s="1">
        <f>IFERROR(VLOOKUP(purchasedata[[#This Row],[HSN Code]],productsdata[#All],3,0),"")</f>
        <v>200</v>
      </c>
      <c r="J14" s="1">
        <f>IFERROR(purchasedata[[#This Row],[Units]]*purchasedata[[#This Row],[Cost]],"")</f>
        <v>12000</v>
      </c>
    </row>
    <row r="15" spans="2:10" x14ac:dyDescent="0.3">
      <c r="D15" s="1" t="s">
        <v>34</v>
      </c>
      <c r="E15" s="1" t="str">
        <f>IFERROR(VLOOKUP(purchasedata[[#This Row],[HSN Code]],productsdata[#All],2,0),"")</f>
        <v>Speakers</v>
      </c>
      <c r="F15" s="1" t="str">
        <f>IFERROR(VLOOKUP(purchasedata[[#This Row],[HSN Code]],vendorsdata[#All],3,0),"")</f>
        <v>Compac</v>
      </c>
      <c r="G15" s="8">
        <v>36534</v>
      </c>
      <c r="H15" s="1">
        <v>25</v>
      </c>
      <c r="I15" s="1">
        <f>IFERROR(VLOOKUP(purchasedata[[#This Row],[HSN Code]],productsdata[#All],3,0),"")</f>
        <v>670</v>
      </c>
      <c r="J15" s="1">
        <f>IFERROR(purchasedata[[#This Row],[Units]]*purchasedata[[#This Row],[Cost]],"")</f>
        <v>16750</v>
      </c>
    </row>
    <row r="16" spans="2:10" x14ac:dyDescent="0.3">
      <c r="B16" s="3"/>
      <c r="D16" s="1" t="s">
        <v>29</v>
      </c>
      <c r="E16" s="1" t="str">
        <f>IFERROR(VLOOKUP(purchasedata[[#This Row],[HSN Code]],productsdata[#All],2,0),"")</f>
        <v>Desktop</v>
      </c>
      <c r="F16" s="1" t="str">
        <f>IFERROR(VLOOKUP(purchasedata[[#This Row],[HSN Code]],vendorsdata[#All],3,0),"")</f>
        <v>GG Traders</v>
      </c>
      <c r="G16" s="8">
        <v>36535</v>
      </c>
      <c r="H16" s="1">
        <v>15</v>
      </c>
      <c r="I16" s="1">
        <f>IFERROR(VLOOKUP(purchasedata[[#This Row],[HSN Code]],productsdata[#All],3,0),"")</f>
        <v>21000</v>
      </c>
      <c r="J16" s="1">
        <f>IFERROR(purchasedata[[#This Row],[Units]]*purchasedata[[#This Row],[Cost]],"")</f>
        <v>315000</v>
      </c>
    </row>
    <row r="17" spans="5:10" x14ac:dyDescent="0.3">
      <c r="E17" s="1" t="str">
        <f>IFERROR(VLOOKUP(purchasedata[[#This Row],[HSN Code]],productsdata[#All],2,0),"")</f>
        <v/>
      </c>
      <c r="F17" s="1" t="str">
        <f>IFERROR(VLOOKUP(purchasedata[[#This Row],[HSN Code]],vendorsdata[#All],3,0),"")</f>
        <v/>
      </c>
      <c r="I17" s="1" t="str">
        <f>IFERROR(VLOOKUP(purchasedata[[#This Row],[HSN Code]],productsdata[#All],3,0),"")</f>
        <v/>
      </c>
      <c r="J17" s="1" t="str">
        <f>IFERROR(purchasedata[[#This Row],[Units]]*purchasedata[[#This Row],[Cost]],"")</f>
        <v/>
      </c>
    </row>
    <row r="18" spans="5:10" x14ac:dyDescent="0.3">
      <c r="E18" s="1" t="str">
        <f>IFERROR(VLOOKUP(purchasedata[[#This Row],[HSN Code]],productsdata[#All],2,0),"")</f>
        <v/>
      </c>
      <c r="F18" s="1" t="str">
        <f>IFERROR(VLOOKUP(purchasedata[[#This Row],[HSN Code]],vendorsdata[#All],3,0),"")</f>
        <v/>
      </c>
      <c r="I18" s="1" t="str">
        <f>IFERROR(VLOOKUP(purchasedata[[#This Row],[HSN Code]],productsdata[#All],3,0),"")</f>
        <v/>
      </c>
      <c r="J18" s="1" t="str">
        <f>IFERROR(purchasedata[[#This Row],[Units]]*purchasedata[[#This Row],[Cost]],"")</f>
        <v/>
      </c>
    </row>
  </sheetData>
  <dataValidations count="1">
    <dataValidation type="list" allowBlank="1" showInputMessage="1" showErrorMessage="1" sqref="D7:D17" xr:uid="{D1688687-51D2-4454-9FCA-D8F447A3AD05}">
      <formula1>hsn_code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A966F-3416-4ACE-8730-AB9DF1215466}">
  <dimension ref="B1:L18"/>
  <sheetViews>
    <sheetView showGridLines="0" showRowColHeaders="0" zoomScale="99" zoomScaleNormal="99" workbookViewId="0">
      <selection activeCell="H24" sqref="H24"/>
    </sheetView>
  </sheetViews>
  <sheetFormatPr defaultRowHeight="14.4" x14ac:dyDescent="0.3"/>
  <cols>
    <col min="1" max="1" width="4.6640625" style="1" customWidth="1"/>
    <col min="2" max="2" width="24.5546875" style="2" customWidth="1"/>
    <col min="3" max="3" width="4.5546875" style="1" customWidth="1"/>
    <col min="4" max="4" width="8.77734375" style="1" customWidth="1"/>
    <col min="5" max="5" width="15.21875" style="1" customWidth="1"/>
    <col min="6" max="6" width="11.33203125" style="1" customWidth="1"/>
    <col min="7" max="7" width="17.77734375" style="1" customWidth="1"/>
    <col min="8" max="8" width="12.21875" style="1" customWidth="1"/>
    <col min="9" max="9" width="13.33203125" style="1" customWidth="1"/>
    <col min="10" max="10" width="8.88671875" style="1"/>
    <col min="11" max="11" width="12" style="1" customWidth="1"/>
    <col min="12" max="12" width="13.44140625" style="1" customWidth="1"/>
    <col min="13" max="16384" width="8.88671875" style="1"/>
  </cols>
  <sheetData>
    <row r="1" spans="2:12" x14ac:dyDescent="0.3">
      <c r="B1" s="1"/>
    </row>
    <row r="6" spans="2:12" x14ac:dyDescent="0.3">
      <c r="D6" s="1" t="s">
        <v>0</v>
      </c>
      <c r="E6" s="1" t="s">
        <v>72</v>
      </c>
      <c r="F6" s="1" t="s">
        <v>25</v>
      </c>
      <c r="G6" s="1" t="s">
        <v>36</v>
      </c>
      <c r="H6" s="1" t="s">
        <v>69</v>
      </c>
      <c r="I6" s="1" t="s">
        <v>73</v>
      </c>
      <c r="J6" s="1" t="s">
        <v>70</v>
      </c>
      <c r="K6" s="1" t="s">
        <v>74</v>
      </c>
      <c r="L6" s="1" t="s">
        <v>71</v>
      </c>
    </row>
    <row r="7" spans="2:12" x14ac:dyDescent="0.3">
      <c r="D7" s="5">
        <v>101</v>
      </c>
      <c r="E7" s="1" t="str">
        <f>IFERROR(VLOOKUP(salesdata[[#This Row],[Cust_ID]],customersdata[#All],2,0),"")</f>
        <v xml:space="preserve"> Atul Ltd.</v>
      </c>
      <c r="F7" s="1" t="s">
        <v>26</v>
      </c>
      <c r="G7" s="1" t="str">
        <f>IFERROR(VLOOKUP(salesdata[[#This Row],[HSN Code]],productsdata[#All],2,0),"")</f>
        <v>Smart Watch</v>
      </c>
      <c r="H7" s="8">
        <v>37257</v>
      </c>
      <c r="I7" s="1">
        <f>IFERROR(VLOOKUP(salesdata[[#This Row],[HSN Code]],Table6[#All],6,0),"")</f>
        <v>0</v>
      </c>
      <c r="K7" s="1">
        <f>IFERROR(VLOOKUP(salesdata[[#This Row],[HSN Code]],productsdata[#All],4,0),"")</f>
        <v>1176</v>
      </c>
      <c r="L7" s="1">
        <f>IFERROR(salesdata[[#This Row],[Price]]*salesdata[[#This Row],[Units]],"")</f>
        <v>0</v>
      </c>
    </row>
    <row r="8" spans="2:12" x14ac:dyDescent="0.3">
      <c r="D8" s="5">
        <v>102</v>
      </c>
      <c r="E8" s="1" t="str">
        <f>IFERROR(VLOOKUP(salesdata[[#This Row],[Cust_ID]],customersdata[#All],2,0),"")</f>
        <v>MK Tech.</v>
      </c>
      <c r="F8" s="1" t="s">
        <v>27</v>
      </c>
      <c r="G8" s="1" t="str">
        <f>IFERROR(VLOOKUP(salesdata[[#This Row],[HSN Code]],productsdata[#All],2,0),"")</f>
        <v>Laptop HP xyz i5</v>
      </c>
      <c r="H8" s="8">
        <v>37258</v>
      </c>
      <c r="I8" s="1">
        <f>IFERROR(VLOOKUP(salesdata[[#This Row],[HSN Code]],Table6[#All],6,0),"")</f>
        <v>25</v>
      </c>
      <c r="J8" s="1">
        <v>5</v>
      </c>
      <c r="K8" s="1">
        <f>IFERROR(VLOOKUP(salesdata[[#This Row],[HSN Code]],productsdata[#All],4,0),"")</f>
        <v>41400</v>
      </c>
      <c r="L8" s="1">
        <f>IFERROR(salesdata[[#This Row],[Price]]*salesdata[[#This Row],[Units]],"")</f>
        <v>207000</v>
      </c>
    </row>
    <row r="9" spans="2:12" x14ac:dyDescent="0.3">
      <c r="D9" s="5">
        <v>103</v>
      </c>
      <c r="E9" s="1" t="str">
        <f>IFERROR(VLOOKUP(salesdata[[#This Row],[Cust_ID]],customersdata[#All],2,0),"")</f>
        <v>99Store</v>
      </c>
      <c r="F9" s="1" t="s">
        <v>29</v>
      </c>
      <c r="G9" s="1" t="str">
        <f>IFERROR(VLOOKUP(salesdata[[#This Row],[HSN Code]],productsdata[#All],2,0),"")</f>
        <v>Desktop</v>
      </c>
      <c r="H9" s="8">
        <v>37259</v>
      </c>
      <c r="I9" s="1">
        <f>IFERROR(VLOOKUP(salesdata[[#This Row],[HSN Code]],Table6[#All],6,0),"")</f>
        <v>11</v>
      </c>
      <c r="J9" s="1">
        <v>2</v>
      </c>
      <c r="K9" s="1">
        <f>IFERROR(VLOOKUP(salesdata[[#This Row],[HSN Code]],productsdata[#All],4,0),"")</f>
        <v>25200</v>
      </c>
      <c r="L9" s="1">
        <f>IFERROR(salesdata[[#This Row],[Price]]*salesdata[[#This Row],[Units]],"")</f>
        <v>50400</v>
      </c>
    </row>
    <row r="10" spans="2:12" x14ac:dyDescent="0.3">
      <c r="D10" s="5">
        <v>103</v>
      </c>
      <c r="E10" s="1" t="str">
        <f>IFERROR(VLOOKUP(salesdata[[#This Row],[Cust_ID]],customersdata[#All],2,0),"")</f>
        <v>99Store</v>
      </c>
      <c r="F10" s="1" t="s">
        <v>26</v>
      </c>
      <c r="G10" s="1" t="str">
        <f>IFERROR(VLOOKUP(salesdata[[#This Row],[HSN Code]],productsdata[#All],2,0),"")</f>
        <v>Smart Watch</v>
      </c>
      <c r="H10" s="8">
        <v>37260</v>
      </c>
      <c r="I10" s="1">
        <f>IFERROR(VLOOKUP(salesdata[[#This Row],[HSN Code]],Table6[#All],6,0),"")</f>
        <v>0</v>
      </c>
      <c r="K10" s="1">
        <f>IFERROR(VLOOKUP(salesdata[[#This Row],[HSN Code]],productsdata[#All],4,0),"")</f>
        <v>1176</v>
      </c>
      <c r="L10" s="1">
        <f>IFERROR(salesdata[[#This Row],[Price]]*salesdata[[#This Row],[Units]],"")</f>
        <v>0</v>
      </c>
    </row>
    <row r="11" spans="2:12" x14ac:dyDescent="0.3">
      <c r="D11" s="5">
        <v>104</v>
      </c>
      <c r="E11" s="1" t="str">
        <f>IFERROR(VLOOKUP(salesdata[[#This Row],[Cust_ID]],customersdata[#All],2,0),"")</f>
        <v>Rajesh Kumar</v>
      </c>
      <c r="F11" s="1" t="s">
        <v>30</v>
      </c>
      <c r="G11" s="1" t="str">
        <f>IFERROR(VLOOKUP(salesdata[[#This Row],[HSN Code]],productsdata[#All],2,0),"")</f>
        <v>Mouse</v>
      </c>
      <c r="H11" s="8">
        <v>37261</v>
      </c>
      <c r="I11" s="1">
        <f>IFERROR(VLOOKUP(salesdata[[#This Row],[HSN Code]],Table6[#All],6,0),"")</f>
        <v>25</v>
      </c>
      <c r="J11" s="1">
        <v>15</v>
      </c>
      <c r="K11" s="1">
        <f>IFERROR(VLOOKUP(salesdata[[#This Row],[HSN Code]],productsdata[#All],4,0),"")</f>
        <v>240</v>
      </c>
      <c r="L11" s="1">
        <f>IFERROR(salesdata[[#This Row],[Price]]*salesdata[[#This Row],[Units]],"")</f>
        <v>3600</v>
      </c>
    </row>
    <row r="12" spans="2:12" x14ac:dyDescent="0.3">
      <c r="D12" s="5">
        <v>106</v>
      </c>
      <c r="E12" s="1" t="str">
        <f>IFERROR(VLOOKUP(salesdata[[#This Row],[Cust_ID]],customersdata[#All],2,0),"")</f>
        <v>Jain Tel.</v>
      </c>
      <c r="F12" s="1" t="s">
        <v>33</v>
      </c>
      <c r="G12" s="1" t="str">
        <f>IFERROR(VLOOKUP(salesdata[[#This Row],[HSN Code]],productsdata[#All],2,0),"")</f>
        <v>Headphones</v>
      </c>
      <c r="H12" s="8">
        <v>37263</v>
      </c>
      <c r="I12" s="1">
        <f>IFERROR(VLOOKUP(salesdata[[#This Row],[HSN Code]],Table6[#All],6,0),"")</f>
        <v>15</v>
      </c>
      <c r="J12" s="1">
        <v>5</v>
      </c>
      <c r="K12" s="1">
        <f>IFERROR(VLOOKUP(salesdata[[#This Row],[HSN Code]],productsdata[#All],4,0),"")</f>
        <v>958.8</v>
      </c>
      <c r="L12" s="1">
        <f>IFERROR(salesdata[[#This Row],[Price]]*salesdata[[#This Row],[Units]],"")</f>
        <v>4794</v>
      </c>
    </row>
    <row r="13" spans="2:12" x14ac:dyDescent="0.3">
      <c r="D13" s="5">
        <v>101</v>
      </c>
      <c r="E13" s="1" t="str">
        <f>IFERROR(VLOOKUP(salesdata[[#This Row],[Cust_ID]],customersdata[#All],2,0),"")</f>
        <v xml:space="preserve"> Atul Ltd.</v>
      </c>
      <c r="F13" s="1" t="s">
        <v>35</v>
      </c>
      <c r="G13" s="1" t="str">
        <f>IFERROR(VLOOKUP(salesdata[[#This Row],[HSN Code]],productsdata[#All],2,0),"")</f>
        <v>Tablets</v>
      </c>
      <c r="H13" s="8">
        <v>37264</v>
      </c>
      <c r="I13" s="1">
        <f>IFERROR(VLOOKUP(salesdata[[#This Row],[HSN Code]],Table6[#All],6,0),"")</f>
        <v>2</v>
      </c>
      <c r="J13" s="1">
        <v>10</v>
      </c>
      <c r="K13" s="1">
        <f>IFERROR(VLOOKUP(salesdata[[#This Row],[HSN Code]],productsdata[#All],4,0),"")</f>
        <v>28200</v>
      </c>
      <c r="L13" s="1">
        <f>IFERROR(salesdata[[#This Row],[Price]]*salesdata[[#This Row],[Units]],"")</f>
        <v>282000</v>
      </c>
    </row>
    <row r="14" spans="2:12" x14ac:dyDescent="0.3">
      <c r="D14" s="5">
        <v>100</v>
      </c>
      <c r="E14" s="1" t="str">
        <f>IFERROR(VLOOKUP(salesdata[[#This Row],[Cust_ID]],customersdata[#All],2,0),"")</f>
        <v>Ram Sales</v>
      </c>
      <c r="F14" s="1" t="s">
        <v>32</v>
      </c>
      <c r="G14" s="1" t="str">
        <f>IFERROR(VLOOKUP(salesdata[[#This Row],[HSN Code]],productsdata[#All],2,0),"")</f>
        <v xml:space="preserve">Camera </v>
      </c>
      <c r="H14" s="8">
        <v>37265</v>
      </c>
      <c r="I14" s="1">
        <f>IFERROR(VLOOKUP(salesdata[[#This Row],[HSN Code]],Table6[#All],6,0),"")</f>
        <v>10</v>
      </c>
      <c r="J14" s="1">
        <v>2</v>
      </c>
      <c r="K14" s="1">
        <f>IFERROR(VLOOKUP(salesdata[[#This Row],[HSN Code]],productsdata[#All],4,0),"")</f>
        <v>62400</v>
      </c>
      <c r="L14" s="1">
        <f>IFERROR(salesdata[[#This Row],[Price]]*salesdata[[#This Row],[Units]],"")</f>
        <v>124800</v>
      </c>
    </row>
    <row r="15" spans="2:12" x14ac:dyDescent="0.3">
      <c r="D15" s="5">
        <v>105</v>
      </c>
      <c r="E15" s="1" t="str">
        <f>IFERROR(VLOOKUP(salesdata[[#This Row],[Cust_ID]],customersdata[#All],2,0),"")</f>
        <v>Amit</v>
      </c>
      <c r="F15" s="1" t="s">
        <v>30</v>
      </c>
      <c r="G15" s="1" t="str">
        <f>IFERROR(VLOOKUP(salesdata[[#This Row],[HSN Code]],productsdata[#All],2,0),"")</f>
        <v>Mouse</v>
      </c>
      <c r="H15" s="8">
        <v>37266</v>
      </c>
      <c r="I15" s="1">
        <f>IFERROR(VLOOKUP(salesdata[[#This Row],[HSN Code]],Table6[#All],6,0),"")</f>
        <v>25</v>
      </c>
      <c r="J15" s="1">
        <v>20</v>
      </c>
      <c r="K15" s="1">
        <f>IFERROR(VLOOKUP(salesdata[[#This Row],[HSN Code]],productsdata[#All],4,0),"")</f>
        <v>240</v>
      </c>
      <c r="L15" s="1">
        <f>IFERROR(salesdata[[#This Row],[Price]]*salesdata[[#This Row],[Units]],"")</f>
        <v>4800</v>
      </c>
    </row>
    <row r="16" spans="2:12" x14ac:dyDescent="0.3">
      <c r="B16" s="3"/>
      <c r="D16" s="5">
        <v>106</v>
      </c>
      <c r="E16" s="1" t="str">
        <f>IFERROR(VLOOKUP(salesdata[[#This Row],[Cust_ID]],customersdata[#All],2,0),"")</f>
        <v>Jain Tel.</v>
      </c>
      <c r="F16" s="1" t="s">
        <v>29</v>
      </c>
      <c r="G16" s="1" t="str">
        <f>IFERROR(VLOOKUP(salesdata[[#This Row],[HSN Code]],productsdata[#All],2,0),"")</f>
        <v>Desktop</v>
      </c>
      <c r="H16" s="8">
        <v>37267</v>
      </c>
      <c r="I16" s="1">
        <f>IFERROR(VLOOKUP(salesdata[[#This Row],[HSN Code]],Table6[#All],6,0),"")</f>
        <v>11</v>
      </c>
      <c r="J16" s="1">
        <v>2</v>
      </c>
      <c r="K16" s="1">
        <f>IFERROR(VLOOKUP(salesdata[[#This Row],[HSN Code]],productsdata[#All],4,0),"")</f>
        <v>25200</v>
      </c>
      <c r="L16" s="1">
        <f>IFERROR(salesdata[[#This Row],[Price]]*salesdata[[#This Row],[Units]],"")</f>
        <v>50400</v>
      </c>
    </row>
    <row r="17" spans="4:12" x14ac:dyDescent="0.3">
      <c r="D17" s="5">
        <v>101</v>
      </c>
      <c r="E17" s="1" t="str">
        <f>IFERROR(VLOOKUP(salesdata[[#This Row],[Cust_ID]],customersdata[#All],2,0),"")</f>
        <v xml:space="preserve"> Atul Ltd.</v>
      </c>
      <c r="F17" s="1" t="s">
        <v>31</v>
      </c>
      <c r="G17" s="1" t="str">
        <f>IFERROR(VLOOKUP(salesdata[[#This Row],[HSN Code]],productsdata[#All],2,0),"")</f>
        <v>Rgb Keyboard</v>
      </c>
      <c r="H17" s="8">
        <v>37269</v>
      </c>
      <c r="I17" s="1">
        <f>IFERROR(VLOOKUP(salesdata[[#This Row],[HSN Code]],Table6[#All],6,0),"")</f>
        <v>15</v>
      </c>
      <c r="K17" s="1">
        <f>IFERROR(VLOOKUP(salesdata[[#This Row],[HSN Code]],productsdata[#All],4,0),"")</f>
        <v>408</v>
      </c>
      <c r="L17" s="1">
        <f>IFERROR(salesdata[[#This Row],[Price]]*salesdata[[#This Row],[Units]],"")</f>
        <v>0</v>
      </c>
    </row>
    <row r="18" spans="4:12" x14ac:dyDescent="0.3">
      <c r="D18" s="5">
        <v>101</v>
      </c>
      <c r="E18" s="1" t="str">
        <f>IFERROR(VLOOKUP(salesdata[[#This Row],[Cust_ID]],customersdata[#All],2,0),"")</f>
        <v xml:space="preserve"> Atul Ltd.</v>
      </c>
      <c r="F18" s="1" t="s">
        <v>28</v>
      </c>
      <c r="G18" s="1" t="str">
        <f>IFERROR(VLOOKUP(salesdata[[#This Row],[HSN Code]],productsdata[#All],2,0),"")</f>
        <v>Wireless Printer</v>
      </c>
      <c r="H18" s="8">
        <v>37270</v>
      </c>
      <c r="I18" s="1">
        <f>IFERROR(VLOOKUP(salesdata[[#This Row],[HSN Code]],Table6[#All],6,0),"")</f>
        <v>0</v>
      </c>
      <c r="J18" s="1">
        <v>10</v>
      </c>
      <c r="K18" s="1">
        <f>IFERROR(VLOOKUP(salesdata[[#This Row],[HSN Code]],productsdata[#All],4,0),"")</f>
        <v>5520</v>
      </c>
      <c r="L18" s="1">
        <f>IFERROR(salesdata[[#This Row],[Price]]*salesdata[[#This Row],[Units]],"")</f>
        <v>55200</v>
      </c>
    </row>
  </sheetData>
  <dataValidations count="2">
    <dataValidation type="list" allowBlank="1" showInputMessage="1" showErrorMessage="1" sqref="D7:D18" xr:uid="{6917F7A1-6228-4D5D-9280-58EAA3357C06}">
      <formula1>cid</formula1>
    </dataValidation>
    <dataValidation type="list" allowBlank="1" showInputMessage="1" showErrorMessage="1" sqref="F7:F18" xr:uid="{9B1DB283-A50F-4818-BAE5-F743865116EB}">
      <formula1>hsn_code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D6E2-9860-4182-A319-79FB1D491E47}">
  <dimension ref="B1:K20"/>
  <sheetViews>
    <sheetView showGridLines="0" showRowColHeaders="0" zoomScale="99" zoomScaleNormal="99" workbookViewId="0">
      <selection activeCell="H24" sqref="H24"/>
    </sheetView>
  </sheetViews>
  <sheetFormatPr defaultRowHeight="14.4" x14ac:dyDescent="0.3"/>
  <cols>
    <col min="1" max="1" width="4.6640625" style="1" customWidth="1"/>
    <col min="2" max="2" width="24.5546875" style="2" customWidth="1"/>
    <col min="3" max="3" width="4.5546875" style="1" customWidth="1"/>
    <col min="4" max="4" width="11.33203125" style="1" customWidth="1"/>
    <col min="5" max="5" width="14.44140625" style="1" customWidth="1"/>
    <col min="6" max="9" width="8.88671875" style="1"/>
    <col min="10" max="10" width="10.77734375" style="1" customWidth="1"/>
    <col min="11" max="11" width="46.109375" style="1" hidden="1" customWidth="1"/>
    <col min="12" max="16384" width="8.88671875" style="1"/>
  </cols>
  <sheetData>
    <row r="1" spans="2:11" x14ac:dyDescent="0.3">
      <c r="B1" s="1"/>
    </row>
    <row r="6" spans="2:11" x14ac:dyDescent="0.3">
      <c r="D6" s="1" t="s">
        <v>25</v>
      </c>
      <c r="E6" s="1" t="s">
        <v>75</v>
      </c>
      <c r="F6" s="1" t="s">
        <v>47</v>
      </c>
      <c r="G6" s="1" t="s">
        <v>76</v>
      </c>
      <c r="H6" s="1" t="s">
        <v>77</v>
      </c>
      <c r="I6" s="1" t="s">
        <v>78</v>
      </c>
      <c r="J6" s="1" t="s">
        <v>79</v>
      </c>
      <c r="K6" s="1" t="s">
        <v>94</v>
      </c>
    </row>
    <row r="7" spans="2:11" x14ac:dyDescent="0.3">
      <c r="D7" s="1" t="str">
        <f>IFERROR(productsdata[[#This Row],[HSN Code]],"")</f>
        <v>N1001</v>
      </c>
      <c r="E7" s="1" t="str">
        <f>IFERROR(productsdata[[#This Row],[Product Name]],"")</f>
        <v>Smart Watch</v>
      </c>
      <c r="F7" s="1">
        <f>IFERROR(productsdata[[#This Row],[Cost]],"")</f>
        <v>980</v>
      </c>
      <c r="G7" s="1">
        <f>SUMIF(purchasedata[Product Name],Table6[[#This Row],[ProductName]],purchasedata[Units])</f>
        <v>0</v>
      </c>
      <c r="H7" s="1">
        <f>SUMIF(salesdata[Product Name],Table6[[#This Row],[ProductName]],salesdata[Units])</f>
        <v>0</v>
      </c>
      <c r="I7" s="1">
        <f>Table6[[#This Row],[P Units]]-Table6[[#This Row],[S Units]]</f>
        <v>0</v>
      </c>
      <c r="J7" s="1">
        <f>IFERROR(Table6[[#This Row],[Cost]]*Table6[[#This Row],[Stock]],"")</f>
        <v>0</v>
      </c>
      <c r="K7" s="14" t="str">
        <f>IFERROR(IF(Table6[[#This Row],[Stock]]&lt;5,"📞 "&amp;Table6[[#This Row],[ProductName]]&amp;"Needs to re-order ! PH"&amp;VLOOKUP(Table6[[#This Row],[HSN Code]],vendorsdata[#All],4,),""),"")</f>
        <v>📞 Smart WatchNeeds to re-order ! PH9812XXXXXX</v>
      </c>
    </row>
    <row r="8" spans="2:11" x14ac:dyDescent="0.3">
      <c r="D8" s="1" t="str">
        <f>IFERROR(productsdata[[#This Row],[HSN Code]],"")</f>
        <v>N1002</v>
      </c>
      <c r="E8" s="1" t="str">
        <f>IFERROR(productsdata[[#This Row],[Product Name]],"")</f>
        <v>Laptop HP xyz i5</v>
      </c>
      <c r="F8" s="1">
        <f>IFERROR(productsdata[[#This Row],[Cost]],"")</f>
        <v>34500</v>
      </c>
      <c r="G8" s="1">
        <f>SUMIF(purchasedata[Product Name],Table6[[#This Row],[ProductName]],purchasedata[Units])</f>
        <v>30</v>
      </c>
      <c r="H8" s="1">
        <f>SUMIF(salesdata[Product Name],Table6[[#This Row],[ProductName]],salesdata[Units])</f>
        <v>5</v>
      </c>
      <c r="I8" s="1">
        <f>Table6[[#This Row],[P Units]]-Table6[[#This Row],[S Units]]</f>
        <v>25</v>
      </c>
      <c r="J8" s="1">
        <f>IFERROR(Table6[[#This Row],[Cost]]*Table6[[#This Row],[Stock]],"")</f>
        <v>862500</v>
      </c>
      <c r="K8" s="14" t="str">
        <f>IFERROR(IF(Table6[[#This Row],[Stock]]&lt;5,"📞 "&amp;Table6[[#This Row],[ProductName]]&amp;"Needs to re-order ! PH"&amp;VLOOKUP(Table6[[#This Row],[HSN Code]],vendorsdata[#All],4,),""),"")</f>
        <v/>
      </c>
    </row>
    <row r="9" spans="2:11" x14ac:dyDescent="0.3">
      <c r="D9" s="1" t="str">
        <f>IFERROR(productsdata[[#This Row],[HSN Code]],"")</f>
        <v>N1003</v>
      </c>
      <c r="E9" s="1" t="str">
        <f>IFERROR(productsdata[[#This Row],[Product Name]],"")</f>
        <v>Wireless Printer</v>
      </c>
      <c r="F9" s="1">
        <f>IFERROR(productsdata[[#This Row],[Cost]],"")</f>
        <v>4600</v>
      </c>
      <c r="G9" s="1">
        <f>SUMIF(purchasedata[Product Name],Table6[[#This Row],[ProductName]],purchasedata[Units])</f>
        <v>10</v>
      </c>
      <c r="H9" s="1">
        <f>SUMIF(salesdata[Product Name],Table6[[#This Row],[ProductName]],salesdata[Units])</f>
        <v>10</v>
      </c>
      <c r="I9" s="1">
        <f>Table6[[#This Row],[P Units]]-Table6[[#This Row],[S Units]]</f>
        <v>0</v>
      </c>
      <c r="J9" s="1">
        <f>IFERROR(Table6[[#This Row],[Cost]]*Table6[[#This Row],[Stock]],"")</f>
        <v>0</v>
      </c>
      <c r="K9" s="14" t="str">
        <f>IFERROR(IF(Table6[[#This Row],[Stock]]&lt;5,"📞 "&amp;Table6[[#This Row],[ProductName]]&amp;"Needs to re-order ! PH"&amp;VLOOKUP(Table6[[#This Row],[HSN Code]],vendorsdata[#All],4,),""),"")</f>
        <v>📞 Wireless PrinterNeeds to re-order ! PH9812XXXXXX</v>
      </c>
    </row>
    <row r="10" spans="2:11" x14ac:dyDescent="0.3">
      <c r="D10" s="1" t="str">
        <f>IFERROR(productsdata[[#This Row],[HSN Code]],"")</f>
        <v>N1004</v>
      </c>
      <c r="E10" s="1" t="str">
        <f>IFERROR(productsdata[[#This Row],[Product Name]],"")</f>
        <v>Desktop</v>
      </c>
      <c r="F10" s="1">
        <f>IFERROR(productsdata[[#This Row],[Cost]],"")</f>
        <v>21000</v>
      </c>
      <c r="G10" s="1">
        <f>SUMIF(purchasedata[Product Name],Table6[[#This Row],[ProductName]],purchasedata[Units])</f>
        <v>15</v>
      </c>
      <c r="H10" s="1">
        <f>SUMIF(salesdata[Product Name],Table6[[#This Row],[ProductName]],salesdata[Units])</f>
        <v>4</v>
      </c>
      <c r="I10" s="1">
        <f>Table6[[#This Row],[P Units]]-Table6[[#This Row],[S Units]]</f>
        <v>11</v>
      </c>
      <c r="J10" s="1">
        <f>IFERROR(Table6[[#This Row],[Cost]]*Table6[[#This Row],[Stock]],"")</f>
        <v>231000</v>
      </c>
      <c r="K10" s="14" t="str">
        <f>IFERROR(IF(Table6[[#This Row],[Stock]]&lt;5,"📞 "&amp;Table6[[#This Row],[ProductName]]&amp;"Needs to re-order ! PH"&amp;VLOOKUP(Table6[[#This Row],[HSN Code]],vendorsdata[#All],4,),""),"")</f>
        <v/>
      </c>
    </row>
    <row r="11" spans="2:11" x14ac:dyDescent="0.3">
      <c r="D11" s="1" t="str">
        <f>IFERROR(productsdata[[#This Row],[HSN Code]],"")</f>
        <v>N1005</v>
      </c>
      <c r="E11" s="1" t="str">
        <f>IFERROR(productsdata[[#This Row],[Product Name]],"")</f>
        <v>Mouse</v>
      </c>
      <c r="F11" s="1">
        <f>IFERROR(productsdata[[#This Row],[Cost]],"")</f>
        <v>200</v>
      </c>
      <c r="G11" s="1">
        <f>SUMIF(purchasedata[Product Name],Table6[[#This Row],[ProductName]],purchasedata[Units])</f>
        <v>60</v>
      </c>
      <c r="H11" s="1">
        <f>SUMIF(salesdata[Product Name],Table6[[#This Row],[ProductName]],salesdata[Units])</f>
        <v>35</v>
      </c>
      <c r="I11" s="1">
        <f>Table6[[#This Row],[P Units]]-Table6[[#This Row],[S Units]]</f>
        <v>25</v>
      </c>
      <c r="J11" s="1">
        <f>IFERROR(Table6[[#This Row],[Cost]]*Table6[[#This Row],[Stock]],"")</f>
        <v>5000</v>
      </c>
      <c r="K11" s="14" t="str">
        <f>IFERROR(IF(Table6[[#This Row],[Stock]]&lt;5,"📞 "&amp;Table6[[#This Row],[ProductName]]&amp;"Needs to re-order ! PH"&amp;VLOOKUP(Table6[[#This Row],[HSN Code]],vendorsdata[#All],4,),""),"")</f>
        <v/>
      </c>
    </row>
    <row r="12" spans="2:11" x14ac:dyDescent="0.3">
      <c r="D12" s="1" t="str">
        <f>IFERROR(productsdata[[#This Row],[HSN Code]],"")</f>
        <v>N1006</v>
      </c>
      <c r="E12" s="1" t="str">
        <f>IFERROR(productsdata[[#This Row],[Product Name]],"")</f>
        <v>Rgb Keyboard</v>
      </c>
      <c r="F12" s="1">
        <f>IFERROR(productsdata[[#This Row],[Cost]],"")</f>
        <v>340</v>
      </c>
      <c r="G12" s="1">
        <f>SUMIF(purchasedata[Product Name],Table6[[#This Row],[ProductName]],purchasedata[Units])</f>
        <v>15</v>
      </c>
      <c r="H12" s="1">
        <f>SUMIF(salesdata[Product Name],Table6[[#This Row],[ProductName]],salesdata[Units])</f>
        <v>0</v>
      </c>
      <c r="I12" s="1">
        <f>Table6[[#This Row],[P Units]]-Table6[[#This Row],[S Units]]</f>
        <v>15</v>
      </c>
      <c r="J12" s="1">
        <f>IFERROR(Table6[[#This Row],[Cost]]*Table6[[#This Row],[Stock]],"")</f>
        <v>5100</v>
      </c>
      <c r="K12" s="14" t="str">
        <f>IFERROR(IF(Table6[[#This Row],[Stock]]&lt;5,"📞 "&amp;Table6[[#This Row],[ProductName]]&amp;"Needs to re-order ! PH"&amp;VLOOKUP(Table6[[#This Row],[HSN Code]],vendorsdata[#All],4,),""),"")</f>
        <v/>
      </c>
    </row>
    <row r="13" spans="2:11" x14ac:dyDescent="0.3">
      <c r="D13" s="1" t="str">
        <f>IFERROR(productsdata[[#This Row],[HSN Code]],"")</f>
        <v>N1007</v>
      </c>
      <c r="E13" s="1" t="str">
        <f>IFERROR(productsdata[[#This Row],[Product Name]],"")</f>
        <v xml:space="preserve">Camera </v>
      </c>
      <c r="F13" s="1">
        <f>IFERROR(productsdata[[#This Row],[Cost]],"")</f>
        <v>52000</v>
      </c>
      <c r="G13" s="1">
        <f>SUMIF(purchasedata[Product Name],Table6[[#This Row],[ProductName]],purchasedata[Units])</f>
        <v>12</v>
      </c>
      <c r="H13" s="1">
        <f>SUMIF(salesdata[Product Name],Table6[[#This Row],[ProductName]],salesdata[Units])</f>
        <v>2</v>
      </c>
      <c r="I13" s="1">
        <f>Table6[[#This Row],[P Units]]-Table6[[#This Row],[S Units]]</f>
        <v>10</v>
      </c>
      <c r="J13" s="1">
        <f>IFERROR(Table6[[#This Row],[Cost]]*Table6[[#This Row],[Stock]],"")</f>
        <v>520000</v>
      </c>
      <c r="K13" s="14" t="str">
        <f>IFERROR(IF(Table6[[#This Row],[Stock]]&lt;5,"📞 "&amp;Table6[[#This Row],[ProductName]]&amp;"Needs to re-order ! PH"&amp;VLOOKUP(Table6[[#This Row],[HSN Code]],vendorsdata[#All],4,),""),"")</f>
        <v/>
      </c>
    </row>
    <row r="14" spans="2:11" x14ac:dyDescent="0.3">
      <c r="D14" s="1" t="str">
        <f>IFERROR(productsdata[[#This Row],[HSN Code]],"")</f>
        <v>N1008</v>
      </c>
      <c r="E14" s="1" t="str">
        <f>IFERROR(productsdata[[#This Row],[Product Name]],"")</f>
        <v>Headphones</v>
      </c>
      <c r="F14" s="1">
        <f>IFERROR(productsdata[[#This Row],[Cost]],"")</f>
        <v>799</v>
      </c>
      <c r="G14" s="1">
        <f>SUMIF(purchasedata[Product Name],Table6[[#This Row],[ProductName]],purchasedata[Units])</f>
        <v>20</v>
      </c>
      <c r="H14" s="1">
        <f>SUMIF(salesdata[Product Name],Table6[[#This Row],[ProductName]],salesdata[Units])</f>
        <v>5</v>
      </c>
      <c r="I14" s="1">
        <f>Table6[[#This Row],[P Units]]-Table6[[#This Row],[S Units]]</f>
        <v>15</v>
      </c>
      <c r="J14" s="1">
        <f>IFERROR(Table6[[#This Row],[Cost]]*Table6[[#This Row],[Stock]],"")</f>
        <v>11985</v>
      </c>
      <c r="K14" s="14" t="str">
        <f>IFERROR(IF(Table6[[#This Row],[Stock]]&lt;5,"📞 "&amp;Table6[[#This Row],[ProductName]]&amp;"Needs to re-order ! PH"&amp;VLOOKUP(Table6[[#This Row],[HSN Code]],vendorsdata[#All],4,),""),"")</f>
        <v/>
      </c>
    </row>
    <row r="15" spans="2:11" x14ac:dyDescent="0.3">
      <c r="D15" s="1" t="str">
        <f>IFERROR(productsdata[[#This Row],[HSN Code]],"")</f>
        <v>N1009</v>
      </c>
      <c r="E15" s="1" t="str">
        <f>IFERROR(productsdata[[#This Row],[Product Name]],"")</f>
        <v>Speakers</v>
      </c>
      <c r="F15" s="1">
        <f>IFERROR(productsdata[[#This Row],[Cost]],"")</f>
        <v>670</v>
      </c>
      <c r="G15" s="1">
        <f>SUMIF(purchasedata[Product Name],Table6[[#This Row],[ProductName]],purchasedata[Units])</f>
        <v>25</v>
      </c>
      <c r="H15" s="1">
        <f>SUMIF(salesdata[Product Name],Table6[[#This Row],[ProductName]],salesdata[Units])</f>
        <v>0</v>
      </c>
      <c r="I15" s="1">
        <f>Table6[[#This Row],[P Units]]-Table6[[#This Row],[S Units]]</f>
        <v>25</v>
      </c>
      <c r="J15" s="1">
        <f>IFERROR(Table6[[#This Row],[Cost]]*Table6[[#This Row],[Stock]],"")</f>
        <v>16750</v>
      </c>
      <c r="K15" s="14" t="str">
        <f>IFERROR(IF(Table6[[#This Row],[Stock]]&lt;5,"📞 "&amp;Table6[[#This Row],[ProductName]]&amp;"Needs to re-order ! PH"&amp;VLOOKUP(Table6[[#This Row],[HSN Code]],vendorsdata[#All],4,),""),"")</f>
        <v/>
      </c>
    </row>
    <row r="16" spans="2:11" x14ac:dyDescent="0.3">
      <c r="B16" s="3"/>
      <c r="D16" s="1" t="str">
        <f>IFERROR(productsdata[[#This Row],[HSN Code]],"")</f>
        <v>N1010</v>
      </c>
      <c r="E16" s="1" t="str">
        <f>IFERROR(productsdata[[#This Row],[Product Name]],"")</f>
        <v>Tablets</v>
      </c>
      <c r="F16" s="1">
        <f>IFERROR(productsdata[[#This Row],[Cost]],"")</f>
        <v>23000</v>
      </c>
      <c r="G16" s="1">
        <f>SUMIF(purchasedata[Product Name],Table6[[#This Row],[ProductName]],purchasedata[Units])</f>
        <v>12</v>
      </c>
      <c r="H16" s="1">
        <f>SUMIF(salesdata[Product Name],Table6[[#This Row],[ProductName]],salesdata[Units])</f>
        <v>10</v>
      </c>
      <c r="I16" s="1">
        <f>Table6[[#This Row],[P Units]]-Table6[[#This Row],[S Units]]</f>
        <v>2</v>
      </c>
      <c r="J16" s="1">
        <f>IFERROR(Table6[[#This Row],[Cost]]*Table6[[#This Row],[Stock]],"")</f>
        <v>46000</v>
      </c>
      <c r="K16" s="14" t="str">
        <f>IFERROR(IF(Table6[[#This Row],[Stock]]&lt;5,"📞 "&amp;Table6[[#This Row],[ProductName]]&amp;"Needs to re-order ! PH"&amp;VLOOKUP(Table6[[#This Row],[HSN Code]],vendorsdata[#All],4,),""),"")</f>
        <v>📞 TabletsNeeds to re-order ! PH9814XXXXXX</v>
      </c>
    </row>
    <row r="17" spans="4:11" x14ac:dyDescent="0.3">
      <c r="D17" s="1" t="str">
        <f>IFERROR(productsdata[[#This Row],[HSN Code]],"")</f>
        <v/>
      </c>
      <c r="E17" s="1" t="str">
        <f>IFERROR(productsdata[[#This Row],[Product Name]],"")</f>
        <v/>
      </c>
      <c r="F17" s="1" t="str">
        <f>IFERROR(productsdata[[#This Row],[Cost]],"")</f>
        <v/>
      </c>
      <c r="G17" s="1">
        <f>SUMIF(purchasedata[Product Name],Table6[[#This Row],[ProductName]],purchasedata[Units])</f>
        <v>0</v>
      </c>
      <c r="H17" s="1">
        <f>SUMIF(salesdata[Product Name],Table6[[#This Row],[ProductName]],salesdata[Units])</f>
        <v>0</v>
      </c>
      <c r="I17" s="1">
        <f>Table6[[#This Row],[P Units]]-Table6[[#This Row],[S Units]]</f>
        <v>0</v>
      </c>
      <c r="J17" s="1" t="str">
        <f>IFERROR(Table6[[#This Row],[Cost]]*Table6[[#This Row],[Stock]],"")</f>
        <v/>
      </c>
      <c r="K17" s="14" t="str">
        <f>IFERROR(IF(Table6[[#This Row],[Stock]]&lt;5,"📞 "&amp;Table6[[#This Row],[ProductName]]&amp;"Needs to re-order ! PH"&amp;VLOOKUP(Table6[[#This Row],[HSN Code]],vendorsdata[#All],4,),""),"")</f>
        <v/>
      </c>
    </row>
    <row r="18" spans="4:11" x14ac:dyDescent="0.3">
      <c r="D18" s="1" t="str">
        <f>IFERROR(productsdata[[#This Row],[HSN Code]],"")</f>
        <v/>
      </c>
      <c r="E18" s="1" t="str">
        <f>IFERROR(productsdata[[#This Row],[Product Name]],"")</f>
        <v/>
      </c>
      <c r="F18" s="1" t="str">
        <f>IFERROR(productsdata[[#This Row],[Cost]],"")</f>
        <v/>
      </c>
      <c r="G18" s="1">
        <f>SUMIF(purchasedata[Product Name],Table6[[#This Row],[ProductName]],purchasedata[Units])</f>
        <v>0</v>
      </c>
      <c r="H18" s="1">
        <f>SUMIF(salesdata[Product Name],Table6[[#This Row],[ProductName]],salesdata[Units])</f>
        <v>0</v>
      </c>
      <c r="I18" s="1">
        <f>Table6[[#This Row],[P Units]]-Table6[[#This Row],[S Units]]</f>
        <v>0</v>
      </c>
      <c r="J18" s="1" t="str">
        <f>IFERROR(Table6[[#This Row],[Cost]]*Table6[[#This Row],[Stock]],"")</f>
        <v/>
      </c>
      <c r="K18" s="14" t="str">
        <f>IFERROR(IF(Table6[[#This Row],[Stock]]&lt;5,"📞 "&amp;Table6[[#This Row],[ProductName]]&amp;"Needs to re-order ! PH"&amp;VLOOKUP(Table6[[#This Row],[HSN Code]],vendorsdata[#All],4,),""),"")</f>
        <v/>
      </c>
    </row>
    <row r="19" spans="4:11" x14ac:dyDescent="0.3">
      <c r="D19" s="1" t="str">
        <f>IFERROR(productsdata[[#This Row],[HSN Code]],"")</f>
        <v/>
      </c>
      <c r="E19" s="1" t="str">
        <f>IFERROR(productsdata[[#This Row],[Product Name]],"")</f>
        <v/>
      </c>
      <c r="F19" s="1" t="str">
        <f>IFERROR(productsdata[[#This Row],[Cost]],"")</f>
        <v/>
      </c>
      <c r="G19" s="1">
        <f>SUMIF(purchasedata[Product Name],Table6[[#This Row],[ProductName]],purchasedata[Units])</f>
        <v>0</v>
      </c>
      <c r="H19" s="1">
        <f>SUMIF(salesdata[Product Name],Table6[[#This Row],[ProductName]],salesdata[Units])</f>
        <v>0</v>
      </c>
      <c r="I19" s="1">
        <f>Table6[[#This Row],[P Units]]-Table6[[#This Row],[S Units]]</f>
        <v>0</v>
      </c>
      <c r="J19" s="1" t="str">
        <f>IFERROR(Table6[[#This Row],[Cost]]*Table6[[#This Row],[Stock]],"")</f>
        <v/>
      </c>
      <c r="K19" s="14" t="str">
        <f>IFERROR(IF(Table6[[#This Row],[Stock]]&lt;5,"📞 "&amp;Table6[[#This Row],[ProductName]]&amp;"Needs to re-order ! PH"&amp;VLOOKUP(Table6[[#This Row],[HSN Code]],vendorsdata[#All],4,),""),"")</f>
        <v/>
      </c>
    </row>
    <row r="20" spans="4:11" x14ac:dyDescent="0.3">
      <c r="D20" s="1" t="str">
        <f>IFERROR(productsdata[[#This Row],[HSN Code]],"")</f>
        <v/>
      </c>
      <c r="E20" s="1" t="str">
        <f>IFERROR(productsdata[[#This Row],[Product Name]],"")</f>
        <v/>
      </c>
      <c r="F20" s="1" t="str">
        <f>IFERROR(productsdata[[#This Row],[Cost]],"")</f>
        <v/>
      </c>
      <c r="G20" s="1">
        <f>SUMIF(purchasedata[Product Name],Table6[[#This Row],[ProductName]],purchasedata[Units])</f>
        <v>0</v>
      </c>
      <c r="H20" s="1">
        <f>SUMIF(salesdata[Product Name],Table6[[#This Row],[ProductName]],salesdata[Units])</f>
        <v>0</v>
      </c>
      <c r="I20" s="1">
        <f>Table6[[#This Row],[P Units]]-Table6[[#This Row],[S Units]]</f>
        <v>0</v>
      </c>
      <c r="J20" s="1" t="str">
        <f>IFERROR(Table6[[#This Row],[Cost]]*Table6[[#This Row],[Stock]],"")</f>
        <v/>
      </c>
      <c r="K20" s="14" t="str">
        <f>IFERROR(IF(Table6[[#This Row],[Stock]]&lt;5,"📞 "&amp;Table6[[#This Row],[ProductName]]&amp;"Needs to re-order ! PH"&amp;VLOOKUP(Table6[[#This Row],[HSN Code]],vendorsdata[#All],4,),""),"")</f>
        <v/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04F60-FDC5-4591-A59F-8B7A3E817184}">
  <dimension ref="A2:G31"/>
  <sheetViews>
    <sheetView workbookViewId="0">
      <selection activeCell="A3" sqref="A3"/>
    </sheetView>
  </sheetViews>
  <sheetFormatPr defaultRowHeight="14.4" x14ac:dyDescent="0.3"/>
  <cols>
    <col min="1" max="1" width="13.21875" bestFit="1" customWidth="1"/>
    <col min="2" max="2" width="11.77734375" bestFit="1" customWidth="1"/>
    <col min="3" max="3" width="13.109375" bestFit="1" customWidth="1"/>
    <col min="6" max="6" width="12.44140625" bestFit="1" customWidth="1"/>
    <col min="7" max="7" width="13.5546875" bestFit="1" customWidth="1"/>
  </cols>
  <sheetData>
    <row r="2" spans="1:7" x14ac:dyDescent="0.3">
      <c r="A2" t="s">
        <v>80</v>
      </c>
      <c r="C2" t="s">
        <v>81</v>
      </c>
      <c r="F2" s="11" t="s">
        <v>90</v>
      </c>
      <c r="G2" t="s">
        <v>92</v>
      </c>
    </row>
    <row r="3" spans="1:7" x14ac:dyDescent="0.3">
      <c r="A3" s="9">
        <v>8</v>
      </c>
      <c r="C3">
        <f>GETPIVOTDATA("Name",$A$2)</f>
        <v>8</v>
      </c>
      <c r="F3" s="12" t="s">
        <v>41</v>
      </c>
      <c r="G3" s="9">
        <v>35</v>
      </c>
    </row>
    <row r="4" spans="1:7" x14ac:dyDescent="0.3">
      <c r="F4" s="12" t="s">
        <v>46</v>
      </c>
      <c r="G4" s="9">
        <v>10</v>
      </c>
    </row>
    <row r="5" spans="1:7" x14ac:dyDescent="0.3">
      <c r="A5" t="s">
        <v>82</v>
      </c>
      <c r="C5" t="s">
        <v>83</v>
      </c>
      <c r="F5" s="12" t="s">
        <v>39</v>
      </c>
      <c r="G5" s="9">
        <v>10</v>
      </c>
    </row>
    <row r="6" spans="1:7" x14ac:dyDescent="0.3">
      <c r="A6" s="9">
        <v>10</v>
      </c>
      <c r="C6">
        <f>GETPIVOTDATA("Product Name",$A$5)</f>
        <v>10</v>
      </c>
      <c r="F6" s="12" t="s">
        <v>44</v>
      </c>
      <c r="G6" s="9">
        <v>5</v>
      </c>
    </row>
    <row r="7" spans="1:7" x14ac:dyDescent="0.3">
      <c r="F7" s="12" t="s">
        <v>38</v>
      </c>
      <c r="G7" s="9">
        <v>5</v>
      </c>
    </row>
    <row r="8" spans="1:7" x14ac:dyDescent="0.3">
      <c r="A8" t="s">
        <v>84</v>
      </c>
      <c r="C8" t="s">
        <v>85</v>
      </c>
      <c r="F8" s="12" t="s">
        <v>91</v>
      </c>
      <c r="G8" s="9">
        <v>65</v>
      </c>
    </row>
    <row r="9" spans="1:7" x14ac:dyDescent="0.3">
      <c r="A9" s="9">
        <v>2345830</v>
      </c>
      <c r="C9" s="10">
        <f>GETPIVOTDATA("Amount",$A$8)</f>
        <v>2345830</v>
      </c>
    </row>
    <row r="11" spans="1:7" x14ac:dyDescent="0.3">
      <c r="A11" t="s">
        <v>84</v>
      </c>
      <c r="C11" t="s">
        <v>86</v>
      </c>
      <c r="F11" s="11" t="s">
        <v>90</v>
      </c>
      <c r="G11" t="s">
        <v>84</v>
      </c>
    </row>
    <row r="12" spans="1:7" x14ac:dyDescent="0.3">
      <c r="A12" s="9">
        <v>782994</v>
      </c>
      <c r="C12" s="10">
        <f>GETPIVOTDATA("Amount",$A$11)</f>
        <v>782994</v>
      </c>
      <c r="F12" s="12" t="s">
        <v>3</v>
      </c>
      <c r="G12" s="9">
        <v>337200</v>
      </c>
    </row>
    <row r="13" spans="1:7" x14ac:dyDescent="0.3">
      <c r="F13" s="12" t="s">
        <v>4</v>
      </c>
      <c r="G13" s="9">
        <v>207000</v>
      </c>
    </row>
    <row r="14" spans="1:7" x14ac:dyDescent="0.3">
      <c r="A14" t="s">
        <v>87</v>
      </c>
      <c r="C14" t="s">
        <v>88</v>
      </c>
      <c r="F14" s="12" t="s">
        <v>2</v>
      </c>
      <c r="G14" s="9">
        <v>124800</v>
      </c>
    </row>
    <row r="15" spans="1:7" x14ac:dyDescent="0.3">
      <c r="A15" s="9">
        <v>1698335</v>
      </c>
      <c r="C15" s="10">
        <f>GETPIVOTDATA("Stock Amt",$A$14)</f>
        <v>1698335</v>
      </c>
      <c r="F15" s="12" t="s">
        <v>8</v>
      </c>
      <c r="G15" s="9">
        <v>55194</v>
      </c>
    </row>
    <row r="16" spans="1:7" x14ac:dyDescent="0.3">
      <c r="F16" s="12" t="s">
        <v>5</v>
      </c>
      <c r="G16" s="9">
        <v>50400</v>
      </c>
    </row>
    <row r="17" spans="1:7" x14ac:dyDescent="0.3">
      <c r="C17" t="s">
        <v>89</v>
      </c>
      <c r="F17" s="12" t="s">
        <v>91</v>
      </c>
      <c r="G17" s="9">
        <v>774594</v>
      </c>
    </row>
    <row r="18" spans="1:7" x14ac:dyDescent="0.3">
      <c r="C18" s="10">
        <f>C15+C12-C9</f>
        <v>135499</v>
      </c>
    </row>
    <row r="20" spans="1:7" x14ac:dyDescent="0.3">
      <c r="A20" s="11" t="s">
        <v>90</v>
      </c>
      <c r="B20" t="s">
        <v>95</v>
      </c>
    </row>
    <row r="21" spans="1:7" x14ac:dyDescent="0.3">
      <c r="A21" s="12" t="s">
        <v>43</v>
      </c>
      <c r="B21" s="9">
        <v>10</v>
      </c>
    </row>
    <row r="22" spans="1:7" x14ac:dyDescent="0.3">
      <c r="A22" s="12" t="s">
        <v>40</v>
      </c>
      <c r="B22" s="9">
        <v>11</v>
      </c>
    </row>
    <row r="23" spans="1:7" x14ac:dyDescent="0.3">
      <c r="A23" s="12" t="s">
        <v>44</v>
      </c>
      <c r="B23" s="9">
        <v>15</v>
      </c>
    </row>
    <row r="24" spans="1:7" x14ac:dyDescent="0.3">
      <c r="A24" s="12" t="s">
        <v>38</v>
      </c>
      <c r="B24" s="9">
        <v>25</v>
      </c>
    </row>
    <row r="25" spans="1:7" x14ac:dyDescent="0.3">
      <c r="A25" s="12" t="s">
        <v>41</v>
      </c>
      <c r="B25" s="9">
        <v>25</v>
      </c>
    </row>
    <row r="26" spans="1:7" x14ac:dyDescent="0.3">
      <c r="A26" s="12" t="s">
        <v>42</v>
      </c>
      <c r="B26" s="9">
        <v>15</v>
      </c>
    </row>
    <row r="27" spans="1:7" x14ac:dyDescent="0.3">
      <c r="A27" s="12" t="s">
        <v>37</v>
      </c>
      <c r="B27" s="9">
        <v>0</v>
      </c>
    </row>
    <row r="28" spans="1:7" x14ac:dyDescent="0.3">
      <c r="A28" s="12" t="s">
        <v>45</v>
      </c>
      <c r="B28" s="9">
        <v>25</v>
      </c>
    </row>
    <row r="29" spans="1:7" x14ac:dyDescent="0.3">
      <c r="A29" s="12" t="s">
        <v>46</v>
      </c>
      <c r="B29" s="9">
        <v>2</v>
      </c>
    </row>
    <row r="30" spans="1:7" x14ac:dyDescent="0.3">
      <c r="A30" s="12" t="s">
        <v>39</v>
      </c>
      <c r="B30" s="9">
        <v>0</v>
      </c>
    </row>
    <row r="31" spans="1:7" x14ac:dyDescent="0.3">
      <c r="A31" s="12" t="s">
        <v>91</v>
      </c>
      <c r="B31" s="9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Dashboard</vt:lpstr>
      <vt:lpstr>Customers</vt:lpstr>
      <vt:lpstr>Products</vt:lpstr>
      <vt:lpstr>Vendors</vt:lpstr>
      <vt:lpstr>New Entry</vt:lpstr>
      <vt:lpstr>Purcahse</vt:lpstr>
      <vt:lpstr>Sales</vt:lpstr>
      <vt:lpstr>Inventory</vt:lpstr>
      <vt:lpstr>Pivots</vt:lpstr>
      <vt:lpstr>cid</vt:lpstr>
      <vt:lpstr>hsn_code</vt:lpstr>
      <vt:lpstr>hsnCode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 Bahadur</dc:creator>
  <cp:lastModifiedBy>Shiv Bahadur</cp:lastModifiedBy>
  <dcterms:created xsi:type="dcterms:W3CDTF">2026-06-22T05:46:38Z</dcterms:created>
  <dcterms:modified xsi:type="dcterms:W3CDTF">2026-06-22T18:19:23Z</dcterms:modified>
</cp:coreProperties>
</file>